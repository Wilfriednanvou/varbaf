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épôt produits" sheetId="1" r:id="rId1"/>
    <sheet name="LISTE OCCUPANTS" sheetId="6" r:id="rId2"/>
    <sheet name="Feuil1" sheetId="5" r:id="rId3"/>
    <sheet name="à imprimer" sheetId="4" r:id="rId4"/>
    <sheet name="SECTEUR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7" i="6" l="1"/>
  <c r="X52" i="6"/>
  <c r="W52" i="6"/>
  <c r="V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T51" i="6"/>
  <c r="S51" i="6"/>
  <c r="U51" i="6" s="1"/>
  <c r="T50" i="6"/>
  <c r="S50" i="6"/>
  <c r="U50" i="6" s="1"/>
  <c r="T49" i="6"/>
  <c r="S49" i="6"/>
  <c r="U49" i="6" s="1"/>
  <c r="T48" i="6"/>
  <c r="S48" i="6"/>
  <c r="U48" i="6" s="1"/>
  <c r="U47" i="6"/>
  <c r="T47" i="6"/>
  <c r="S47" i="6"/>
  <c r="U46" i="6"/>
  <c r="T46" i="6"/>
  <c r="S46" i="6"/>
  <c r="U45" i="6"/>
  <c r="T45" i="6"/>
  <c r="S45" i="6"/>
  <c r="U44" i="6"/>
  <c r="T44" i="6"/>
  <c r="S44" i="6"/>
  <c r="U43" i="6"/>
  <c r="T43" i="6"/>
  <c r="S43" i="6"/>
  <c r="U42" i="6"/>
  <c r="T42" i="6"/>
  <c r="S42" i="6"/>
  <c r="U41" i="6"/>
  <c r="T41" i="6"/>
  <c r="S41" i="6"/>
  <c r="U40" i="6"/>
  <c r="T40" i="6"/>
  <c r="S40" i="6"/>
  <c r="U39" i="6"/>
  <c r="T39" i="6"/>
  <c r="S39" i="6"/>
  <c r="T38" i="6"/>
  <c r="T37" i="6"/>
  <c r="S37" i="6"/>
  <c r="U37" i="6" s="1"/>
  <c r="T36" i="6"/>
  <c r="S36" i="6"/>
  <c r="U36" i="6" s="1"/>
  <c r="T35" i="6"/>
  <c r="S35" i="6"/>
  <c r="U35" i="6" s="1"/>
  <c r="T34" i="6"/>
  <c r="S34" i="6"/>
  <c r="U34" i="6" s="1"/>
  <c r="T33" i="6"/>
  <c r="S33" i="6"/>
  <c r="U33" i="6" s="1"/>
  <c r="T32" i="6"/>
  <c r="S32" i="6"/>
  <c r="U32" i="6" s="1"/>
  <c r="T31" i="6"/>
  <c r="S31" i="6"/>
  <c r="U31" i="6" s="1"/>
  <c r="T30" i="6"/>
  <c r="S30" i="6"/>
  <c r="U30" i="6" s="1"/>
  <c r="S29" i="6"/>
  <c r="T28" i="6"/>
  <c r="S28" i="6"/>
  <c r="U26" i="6"/>
  <c r="T26" i="6"/>
  <c r="S26" i="6"/>
  <c r="T25" i="6"/>
  <c r="U25" i="6" s="1"/>
  <c r="S25" i="6"/>
  <c r="T24" i="6"/>
  <c r="S24" i="6"/>
  <c r="U24" i="6" s="1"/>
  <c r="T23" i="6"/>
  <c r="S23" i="6"/>
  <c r="U23" i="6" s="1"/>
  <c r="T22" i="6"/>
  <c r="S22" i="6"/>
  <c r="U22" i="6" s="1"/>
  <c r="T21" i="6"/>
  <c r="S21" i="6"/>
  <c r="U21" i="6" s="1"/>
  <c r="T20" i="6"/>
  <c r="S20" i="6"/>
  <c r="U20" i="6" s="1"/>
  <c r="T19" i="6"/>
  <c r="S19" i="6"/>
  <c r="U19" i="6" s="1"/>
  <c r="T18" i="6"/>
  <c r="S18" i="6"/>
  <c r="U18" i="6" s="1"/>
  <c r="T17" i="6"/>
  <c r="S17" i="6"/>
  <c r="U17" i="6" s="1"/>
  <c r="T16" i="6"/>
  <c r="S16" i="6"/>
  <c r="U16" i="6" s="1"/>
  <c r="T15" i="6"/>
  <c r="S15" i="6"/>
  <c r="U15" i="6" s="1"/>
  <c r="T14" i="6"/>
  <c r="S14" i="6"/>
  <c r="U14" i="6" s="1"/>
  <c r="T13" i="6"/>
  <c r="S13" i="6"/>
  <c r="U13" i="6" s="1"/>
  <c r="A13" i="6"/>
  <c r="A14" i="6" s="1"/>
  <c r="A15" i="6" s="1"/>
  <c r="A16" i="6" s="1"/>
  <c r="A17" i="6" s="1"/>
  <c r="A19" i="6" s="1"/>
  <c r="A20" i="6" s="1"/>
  <c r="A21" i="6" s="1"/>
  <c r="A22" i="6" s="1"/>
  <c r="A23" i="6" s="1"/>
  <c r="A24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9" i="6" s="1"/>
  <c r="A50" i="6" s="1"/>
  <c r="A51" i="6" s="1"/>
  <c r="T12" i="6"/>
  <c r="T52" i="6" s="1"/>
  <c r="S12" i="6"/>
  <c r="U12" i="6" s="1"/>
  <c r="U52" i="6" l="1"/>
  <c r="S52" i="6"/>
  <c r="N102" i="1" l="1"/>
  <c r="N98" i="1"/>
</calcChain>
</file>

<file path=xl/comments1.xml><?xml version="1.0" encoding="utf-8"?>
<comments xmlns="http://schemas.openxmlformats.org/spreadsheetml/2006/main">
  <authors>
    <author>Auteur</author>
  </authors>
  <commentList>
    <comment ref="G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2000 Fcfa le 21/04/2026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8000 Fcfa le 10/04/2026</t>
        </r>
      </text>
    </comment>
    <comment ref="N1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paiement recette loyer des mois juin, juillet et août 2026 montant = 6000 fcfa
le 01/06/2026</t>
        </r>
      </text>
    </comment>
    <comment ref="I2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loyer     le      10/04/2026 12 000 fcfa TSANMAT 
OCT-Déc 2025 6000 Fcfa 
Janv-Mars 2026 = 6000 f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Paiement loyer de janv-juin 2026 18000 Fcfa
le 15-05-2026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Paiement loyers janv à mis Août 2026 montant 15000 Fcfa 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 16/03/2026, paiement du loyer 18 000 Fcfa </t>
        </r>
      </text>
    </comment>
    <comment ref="I3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partie le 01/04/2026</t>
        </r>
      </text>
    </comment>
    <comment ref="G3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paiement loyer de janvier 2026  montant 2000 fcfa
le 04-05-2026
</t>
        </r>
      </text>
    </comment>
    <comment ref="J3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le 08/04/2026</t>
        </r>
      </text>
    </comment>
    <comment ref="O4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paiement loyer 18000 Fcfa le 04/05/2026
 des mois janv-sept 2026</t>
        </r>
      </text>
    </comment>
    <comment ref="N4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paiement loyer 30000 Fcfa le 01/06/2026 (juin, Juillet et Août 2026)</t>
        </r>
      </text>
    </comment>
    <comment ref="I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30 000 Fcfa le 27/03/2026</t>
        </r>
      </text>
    </comment>
    <comment ref="J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15 000 Fcfa le 27/04/2026</t>
        </r>
      </text>
    </comment>
    <comment ref="L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le 12/02/2026 loyer 60 000 Fcfa</t>
        </r>
      </text>
    </comment>
    <comment ref="G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le 27/04/2026 loyer 60 000 Fcfa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payer le 25/05/2026 loyer 60 000 Fcfa</t>
        </r>
      </text>
    </comment>
    <comment ref="W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MR KOUGOUM Pierre 
</t>
        </r>
      </text>
    </comment>
  </commentList>
</comments>
</file>

<file path=xl/sharedStrings.xml><?xml version="1.0" encoding="utf-8"?>
<sst xmlns="http://schemas.openxmlformats.org/spreadsheetml/2006/main" count="693" uniqueCount="360">
  <si>
    <t>N°</t>
  </si>
  <si>
    <t>PRIX</t>
  </si>
  <si>
    <t xml:space="preserve">INFORMATION CARACTERISTIQUE DES PRODUITS ARTISANAUX </t>
  </si>
  <si>
    <t>PROVENANCE / ORIGINE</t>
  </si>
  <si>
    <t>MATERIAUX / MATERIAL</t>
  </si>
  <si>
    <t>HAUTEUR Cm / HEIGHT</t>
  </si>
  <si>
    <t>LARGEUR / WIDTH</t>
  </si>
  <si>
    <t>POIDS / WEIGHT</t>
  </si>
  <si>
    <t>LONGEUR / LENGTH</t>
  </si>
  <si>
    <t>PERISSABLE / PERISHABLE</t>
  </si>
  <si>
    <t xml:space="preserve"> DATATION ESTIMEE, PREEMPTION / ESTIMATED DATING (manufacturing date)</t>
  </si>
  <si>
    <t>ARTISAN</t>
  </si>
  <si>
    <t>CONTACT</t>
  </si>
  <si>
    <t>COMMUNE</t>
  </si>
  <si>
    <t>DEPARTEMENT</t>
  </si>
  <si>
    <t>S</t>
  </si>
  <si>
    <t>SECTEUR</t>
  </si>
  <si>
    <t>Scupture</t>
  </si>
  <si>
    <t>Bronze</t>
  </si>
  <si>
    <t>Agroalimentaire</t>
  </si>
  <si>
    <t>Textile</t>
  </si>
  <si>
    <t>Cosmétiques</t>
  </si>
  <si>
    <t>Décoration</t>
  </si>
  <si>
    <t>Peau et Cuir</t>
  </si>
  <si>
    <t>Broderie traditionnelle</t>
  </si>
  <si>
    <t>Arts plastiques</t>
  </si>
  <si>
    <t>Produits médicinaux</t>
  </si>
  <si>
    <t>Recyclage des objets</t>
  </si>
  <si>
    <t>Menuiserie</t>
  </si>
  <si>
    <t>Tissage</t>
  </si>
  <si>
    <t>Vannerie</t>
  </si>
  <si>
    <t>PRODUITS ARTISANAUX OU OBJETS</t>
  </si>
  <si>
    <t>Vinaigre Ménager 7°</t>
  </si>
  <si>
    <t xml:space="preserve">Savon Liquide </t>
  </si>
  <si>
    <t xml:space="preserve">Lave Vitre </t>
  </si>
  <si>
    <t>Cosmétique</t>
  </si>
  <si>
    <t>Ouest - Cameroun</t>
  </si>
  <si>
    <t>oui</t>
  </si>
  <si>
    <t>NGAMI GIULIA, Epse KEPNDO</t>
  </si>
  <si>
    <t>DATE DE FABRICATION</t>
  </si>
  <si>
    <t>Eau de Javel 250 ml</t>
  </si>
  <si>
    <t>Eau de Javel 1 l</t>
  </si>
  <si>
    <t>Eau de Javel 500 ml</t>
  </si>
  <si>
    <t>DATE  DE FABRICATION</t>
  </si>
  <si>
    <t>Vin d'orange</t>
  </si>
  <si>
    <t>Vin blanc de persil</t>
  </si>
  <si>
    <t>Vin de lemon</t>
  </si>
  <si>
    <t>Vin de gingembre</t>
  </si>
  <si>
    <t>Vin d'ail (6500 F)</t>
  </si>
  <si>
    <t>Tour des rois</t>
  </si>
  <si>
    <t>Moelleux champignons blancs</t>
  </si>
  <si>
    <t>PRIX UNITAIRE</t>
  </si>
  <si>
    <t>QUANTITE</t>
  </si>
  <si>
    <t>MOUTAPMBEME Jonas</t>
  </si>
  <si>
    <t>SCOOPSEMA (Mme Dongmo Thérèse)</t>
  </si>
  <si>
    <t>INFORMATION CARACTERISTIQUE DES PRODUITS ARTISANAUX  2026</t>
  </si>
  <si>
    <t>CAPACITE</t>
  </si>
  <si>
    <t>75 cl</t>
  </si>
  <si>
    <t>Vin de Bitacola</t>
  </si>
  <si>
    <t>Vin de Cola</t>
  </si>
  <si>
    <t xml:space="preserve">GUEKAM PHILIPPE </t>
  </si>
  <si>
    <t>696 06 31 51</t>
  </si>
  <si>
    <t>MBOULE Simone</t>
  </si>
  <si>
    <t>MAMCHE KADJE Rosette Solange</t>
  </si>
  <si>
    <t xml:space="preserve">Vin d'avocat </t>
  </si>
  <si>
    <t xml:space="preserve">Huile d'avocat </t>
  </si>
  <si>
    <t xml:space="preserve">Vin de Raphia </t>
  </si>
  <si>
    <t>0,5cl</t>
  </si>
  <si>
    <t>60 ml</t>
  </si>
  <si>
    <t>Café rapha</t>
  </si>
  <si>
    <t>250g</t>
  </si>
  <si>
    <t xml:space="preserve">Savon gommant </t>
  </si>
  <si>
    <t>200g</t>
  </si>
  <si>
    <t>677 40 10 97</t>
  </si>
  <si>
    <t xml:space="preserve">Savon Hydratant </t>
  </si>
  <si>
    <t>Gel de douche gommant</t>
  </si>
  <si>
    <t>500 ml</t>
  </si>
  <si>
    <t xml:space="preserve">Gel de douche Hydratant </t>
  </si>
  <si>
    <t>Vin miel moelleux</t>
  </si>
  <si>
    <t>Vin miel sec</t>
  </si>
  <si>
    <t>OLY Nature (Mme KUATE Judith)</t>
  </si>
  <si>
    <t>Kombucha</t>
  </si>
  <si>
    <t>Sérinité</t>
  </si>
  <si>
    <t>Lemon grass</t>
  </si>
  <si>
    <t>Cure de diabète</t>
  </si>
  <si>
    <t>Pydgeum</t>
  </si>
  <si>
    <t>Baume</t>
  </si>
  <si>
    <t>Artémesia</t>
  </si>
  <si>
    <t>TSANMAT</t>
  </si>
  <si>
    <t>696 33 14 53</t>
  </si>
  <si>
    <t>Menthe poivrée</t>
  </si>
  <si>
    <t>Huile de clou girofle</t>
  </si>
  <si>
    <t>Huile de neem</t>
  </si>
  <si>
    <t>Petit baume</t>
  </si>
  <si>
    <t>Infusion Neem</t>
  </si>
  <si>
    <t xml:space="preserve">Infusion d'ail </t>
  </si>
  <si>
    <t>Giuseng roi</t>
  </si>
  <si>
    <t>Tisane minceure</t>
  </si>
  <si>
    <t>Tinane nettoyage</t>
  </si>
  <si>
    <t>Antibiotique</t>
  </si>
  <si>
    <t>Man power</t>
  </si>
  <si>
    <t>Cure Covid</t>
  </si>
  <si>
    <t>Charbon Sachet</t>
  </si>
  <si>
    <t>Skin biochar</t>
  </si>
  <si>
    <t>Anti gastrique et anti-cancer</t>
  </si>
  <si>
    <t>Curccuma longa</t>
  </si>
  <si>
    <t>Probiochar</t>
  </si>
  <si>
    <t>Magic Saop</t>
  </si>
  <si>
    <t>Bissobo</t>
  </si>
  <si>
    <t>Bondo</t>
  </si>
  <si>
    <t>Sokmesonma</t>
  </si>
  <si>
    <t>Huile neem</t>
  </si>
  <si>
    <t>656 87 88 47 -            674 04 97 35</t>
  </si>
  <si>
    <t>DJOKO POKAM Alex</t>
  </si>
  <si>
    <t>Renfort</t>
  </si>
  <si>
    <t>Relax</t>
  </si>
  <si>
    <t>Cure d'estomac</t>
  </si>
  <si>
    <t>cure de désintox</t>
  </si>
  <si>
    <t>Anti-Cancer</t>
  </si>
  <si>
    <t>Antidouleur</t>
  </si>
  <si>
    <t>Cure typhoïde</t>
  </si>
  <si>
    <t>Ginger Tea</t>
  </si>
  <si>
    <t>Aloes Tea</t>
  </si>
  <si>
    <t>Stomach lase</t>
  </si>
  <si>
    <t xml:space="preserve">Apetissant </t>
  </si>
  <si>
    <t>Ortie grande</t>
  </si>
  <si>
    <t>Cure Toux</t>
  </si>
  <si>
    <t xml:space="preserve">TCHANOU </t>
  </si>
  <si>
    <t>670 36 60 72 -            691 05 86 09</t>
  </si>
  <si>
    <t xml:space="preserve">Voacanga </t>
  </si>
  <si>
    <t>Pyguem</t>
  </si>
  <si>
    <t>Cannelle</t>
  </si>
  <si>
    <t>Maigrir</t>
  </si>
  <si>
    <t xml:space="preserve">Anti infectieux </t>
  </si>
  <si>
    <t>Moringa</t>
  </si>
  <si>
    <t>Clou de girofle</t>
  </si>
  <si>
    <t>Demafi</t>
  </si>
  <si>
    <t>Rhumarga</t>
  </si>
  <si>
    <t>Nigelle</t>
  </si>
  <si>
    <t>Calcedra</t>
  </si>
  <si>
    <t>Rhunecram</t>
  </si>
  <si>
    <t>Spiruline</t>
  </si>
  <si>
    <t>Chia</t>
  </si>
  <si>
    <t xml:space="preserve">Curmin </t>
  </si>
  <si>
    <t xml:space="preserve">BASSIE MOFO Julius </t>
  </si>
  <si>
    <t>699 89 89 72 -            670 89 89 74</t>
  </si>
  <si>
    <t>Mouofo -4m</t>
  </si>
  <si>
    <t>Nymofo - 3</t>
  </si>
  <si>
    <t>Motchouo - 5m</t>
  </si>
  <si>
    <t>Hepagel</t>
  </si>
  <si>
    <t xml:space="preserve">Curccuma </t>
  </si>
  <si>
    <t>Huile de Neem</t>
  </si>
  <si>
    <t>Beure de karité</t>
  </si>
  <si>
    <t>Huile de Neem 1/3 de litre</t>
  </si>
  <si>
    <t>Tisane anti-hémoroïde</t>
  </si>
  <si>
    <t>NKONDZOU Thomas</t>
  </si>
  <si>
    <t>677 40 78 26 - 691 66 35 76</t>
  </si>
  <si>
    <t>691 97 62 79 / 670 68 46 68</t>
  </si>
  <si>
    <t>691 97 62 79 /            670 68 46 68</t>
  </si>
  <si>
    <t xml:space="preserve">    690 93 37 39 - 677 75 67 13</t>
  </si>
  <si>
    <t>656 87 88 47 -  674 04 97 35</t>
  </si>
  <si>
    <t>NJEUYIM TOUOMO Guy Marcel</t>
  </si>
  <si>
    <t>677 44 54 62 - 695 14 45 64</t>
  </si>
  <si>
    <t>Pot de Miel</t>
  </si>
  <si>
    <t>1,60 kg</t>
  </si>
  <si>
    <t>850 g</t>
  </si>
  <si>
    <t>650 g</t>
  </si>
  <si>
    <t>Cire d'abeille</t>
  </si>
  <si>
    <t>700g</t>
  </si>
  <si>
    <t>600 g</t>
  </si>
  <si>
    <t>550 g</t>
  </si>
  <si>
    <t>450 g</t>
  </si>
  <si>
    <t>300 g</t>
  </si>
  <si>
    <t>Bougie de 1500 f</t>
  </si>
  <si>
    <t>Bougie de 500 f</t>
  </si>
  <si>
    <t>Piment liquide</t>
  </si>
  <si>
    <t>200 ml</t>
  </si>
  <si>
    <t>125 ml</t>
  </si>
  <si>
    <t>Poudre de 7 épices</t>
  </si>
  <si>
    <t>Thé titi bio nature</t>
  </si>
  <si>
    <t>TITI BIO Nature</t>
  </si>
  <si>
    <t xml:space="preserve">675 48 60 49 - 694 43 91 84 </t>
  </si>
  <si>
    <t>Poudre de gingembre</t>
  </si>
  <si>
    <t>Poudre de Curccuma</t>
  </si>
  <si>
    <t>ETAT DE RECOUVREMENT DES RECETTES NON FISCALES PAYEES PAR LES OCCUPANTS</t>
  </si>
  <si>
    <t>ANNEE 2026</t>
  </si>
  <si>
    <t>N° ORDRE</t>
  </si>
  <si>
    <t>TYPE D'ESPACE</t>
  </si>
  <si>
    <t>CODE TYPE ESPACE LOCATIF</t>
  </si>
  <si>
    <t>CODE ESPACE</t>
  </si>
  <si>
    <t>NOM DES ARTISANS</t>
  </si>
  <si>
    <t>MONTANT MENSUEL A PAYER</t>
  </si>
  <si>
    <t>IMPUTATION ANNUEL 2026</t>
  </si>
  <si>
    <t>MONTANT ANNUEL PAYE RNF 2026</t>
  </si>
  <si>
    <t>RESTE A PAYER ANNUEL 2026</t>
  </si>
  <si>
    <t>ACTES GENERATEURS</t>
  </si>
  <si>
    <t>METIER</t>
  </si>
  <si>
    <t>BOUTIQUE</t>
  </si>
  <si>
    <t>B01</t>
  </si>
  <si>
    <t>B0101</t>
  </si>
  <si>
    <t>MOUTAPMBEME JONAS</t>
  </si>
  <si>
    <t>Recettes des loyers et des Galeries artisanales</t>
  </si>
  <si>
    <t>695 74 95 22</t>
  </si>
  <si>
    <t>Production des vins</t>
  </si>
  <si>
    <t>B0102</t>
  </si>
  <si>
    <t>SCOOPSEMA (Mme DONGMO Thérèse)</t>
  </si>
  <si>
    <t>677 18 75 34 - 699 34 78 38</t>
  </si>
  <si>
    <t>B0103</t>
  </si>
  <si>
    <t>GUEKAM Phillipe</t>
  </si>
  <si>
    <t>B0104</t>
  </si>
  <si>
    <t>B0105</t>
  </si>
  <si>
    <t>681 71 43 91 - 683 59 76 93</t>
  </si>
  <si>
    <t>B0106</t>
  </si>
  <si>
    <t>690 93 37 39 - 677 75 67 13</t>
  </si>
  <si>
    <t>Production café Rapha</t>
  </si>
  <si>
    <t>B0107</t>
  </si>
  <si>
    <t>B02</t>
  </si>
  <si>
    <t>B0201</t>
  </si>
  <si>
    <t>DJOKO POKAM ALEX</t>
  </si>
  <si>
    <t>694 43 38 74</t>
  </si>
  <si>
    <t>Production de la pharmacopée traditionnelle</t>
  </si>
  <si>
    <t>B0202</t>
  </si>
  <si>
    <t xml:space="preserve">TSANMAT </t>
  </si>
  <si>
    <t>690 80 91 40 - 675 86 14 65</t>
  </si>
  <si>
    <t>Produits de santé</t>
  </si>
  <si>
    <t>B0203</t>
  </si>
  <si>
    <t>GOMMOU FEOKO Stéphanie</t>
  </si>
  <si>
    <t>B0204</t>
  </si>
  <si>
    <t>699 89 89 72</t>
  </si>
  <si>
    <t>B0206</t>
  </si>
  <si>
    <t>B03</t>
  </si>
  <si>
    <t>B0301</t>
  </si>
  <si>
    <t>Apiculteur</t>
  </si>
  <si>
    <t>VIDE</t>
  </si>
  <si>
    <t>655 45 32 31</t>
  </si>
  <si>
    <t>Transformation du soja en yaourt</t>
  </si>
  <si>
    <t>695 43 22 49</t>
  </si>
  <si>
    <t>Transformation du cacao en plusieurs produits</t>
  </si>
  <si>
    <t>B04</t>
  </si>
  <si>
    <t>B0401</t>
  </si>
  <si>
    <t>FAFE</t>
  </si>
  <si>
    <t>677 32 24 99</t>
  </si>
  <si>
    <t>B0402</t>
  </si>
  <si>
    <t>SYESIYA BAMBOUS</t>
  </si>
  <si>
    <t>698 52 03 21 - 650 35 07 21</t>
  </si>
  <si>
    <t>Production des objets en bambou</t>
  </si>
  <si>
    <t>B05</t>
  </si>
  <si>
    <t>B0501</t>
  </si>
  <si>
    <t>KAMENI Clovis</t>
  </si>
  <si>
    <t>670 57 13 16 - 659 60 60 66</t>
  </si>
  <si>
    <t>B06</t>
  </si>
  <si>
    <t>B0601</t>
  </si>
  <si>
    <t>NGASSAM Bernadette</t>
  </si>
  <si>
    <t>699 81 48 92</t>
  </si>
  <si>
    <t>Production des produits à base de la farine locale</t>
  </si>
  <si>
    <t>B0602</t>
  </si>
  <si>
    <t>MAFODJUI NOKAM Dorine</t>
  </si>
  <si>
    <t>697 88 34 83</t>
  </si>
  <si>
    <t>Production des cosmétiques</t>
  </si>
  <si>
    <t>B0603</t>
  </si>
  <si>
    <t xml:space="preserve">GAPIAPSI KUISSU Edwige - Ets Floralis </t>
  </si>
  <si>
    <t>677 95 20 84 - 697 39 52 96</t>
  </si>
  <si>
    <t>B0604</t>
  </si>
  <si>
    <t>MAWOUT TANKAM Diane</t>
  </si>
  <si>
    <t>679 32 84 17 - 691 55 32 33</t>
  </si>
  <si>
    <t>B0605</t>
  </si>
  <si>
    <t>MADJOU FONKOU Brenda Saurelle</t>
  </si>
  <si>
    <t>695 02 05 79</t>
  </si>
  <si>
    <t>B07</t>
  </si>
  <si>
    <t>B0701</t>
  </si>
  <si>
    <t>SONWA KUETE Aimé Stéphane</t>
  </si>
  <si>
    <t>674 26 46 02   - 691 39 80 92</t>
  </si>
  <si>
    <t>Production des objets Sculptés</t>
  </si>
  <si>
    <t>B0702</t>
  </si>
  <si>
    <t>MOULIOUM IBRAHIM</t>
  </si>
  <si>
    <t>696 10 51 87</t>
  </si>
  <si>
    <t>B08</t>
  </si>
  <si>
    <t>B0801</t>
  </si>
  <si>
    <t>CHINDA SOKOUDJOU Franck Yanick</t>
  </si>
  <si>
    <t>656 09 93 19 - 697 49 39 52</t>
  </si>
  <si>
    <t>Production des objets Sculptés, Transformation du bois …</t>
  </si>
  <si>
    <t>B09</t>
  </si>
  <si>
    <t>B0901</t>
  </si>
  <si>
    <t>Bambou House (MBIAKOP Roland)</t>
  </si>
  <si>
    <t>690 40 06 83 - 652 01 21 73</t>
  </si>
  <si>
    <t>B10</t>
  </si>
  <si>
    <t>B1001</t>
  </si>
  <si>
    <t>CHIC DECOR - FANTE YOUDOM Brunette épse TCHEMBENG</t>
  </si>
  <si>
    <t xml:space="preserve">676 03 04 74 - 695 63 52 06 </t>
  </si>
  <si>
    <t>Plusieurs objets artisanaux</t>
  </si>
  <si>
    <t>B11</t>
  </si>
  <si>
    <t>B1101</t>
  </si>
  <si>
    <t>MAMBOU Claude</t>
  </si>
  <si>
    <t>677 14 31 94</t>
  </si>
  <si>
    <t>Producteur de plusieurs objets artisanaux</t>
  </si>
  <si>
    <t>B12</t>
  </si>
  <si>
    <t>B1201</t>
  </si>
  <si>
    <t>NSO YONKA   -   Shoe Factory</t>
  </si>
  <si>
    <t>677 26 43 57 - 691 01 68 35</t>
  </si>
  <si>
    <t>Fabrication des chaussures</t>
  </si>
  <si>
    <t>B1203</t>
  </si>
  <si>
    <t>MINTCHOUGOM SIDONIE</t>
  </si>
  <si>
    <t>679 92 99 65</t>
  </si>
  <si>
    <t>B1204</t>
  </si>
  <si>
    <t>YEMGANG NANDJE Fideline</t>
  </si>
  <si>
    <t>674 15 78 91</t>
  </si>
  <si>
    <t>Bijoux en perles</t>
  </si>
  <si>
    <t>B13</t>
  </si>
  <si>
    <t>MAKAMTE Bibiane</t>
  </si>
  <si>
    <t>B14</t>
  </si>
  <si>
    <t>B1401</t>
  </si>
  <si>
    <t xml:space="preserve">NJONFANG NGONGANG Sidonie épse DJANWOUO </t>
  </si>
  <si>
    <t xml:space="preserve"> 699 90 66 68 - 676 23 95 28</t>
  </si>
  <si>
    <t>Objet traditionnel</t>
  </si>
  <si>
    <t>B15</t>
  </si>
  <si>
    <t>B1501</t>
  </si>
  <si>
    <t>WAPPCAM (LUCHOUO NGIA Géraldine Epse SAMOH)</t>
  </si>
  <si>
    <t>673 77 03 14 - 698 47 14 59</t>
  </si>
  <si>
    <t>Objets artisanaux et Récupérateur</t>
  </si>
  <si>
    <t>B16</t>
  </si>
  <si>
    <t>B1601</t>
  </si>
  <si>
    <t>NKEMTOH Melissa LONGFOR</t>
  </si>
  <si>
    <t xml:space="preserve"> 696 83 18 88</t>
  </si>
  <si>
    <t>Dessinateur</t>
  </si>
  <si>
    <t>B17</t>
  </si>
  <si>
    <t>691 38 29 43</t>
  </si>
  <si>
    <t>Artiste-Photographe</t>
  </si>
  <si>
    <t>SOUS-SOL</t>
  </si>
  <si>
    <t>SS01</t>
  </si>
  <si>
    <t>G0201</t>
  </si>
  <si>
    <r>
      <rPr>
        <b/>
        <sz val="11"/>
        <color theme="1"/>
        <rFont val="Calibri"/>
        <family val="2"/>
        <scheme val="minor"/>
      </rPr>
      <t>CNTC</t>
    </r>
    <r>
      <rPr>
        <sz val="11"/>
        <color theme="1"/>
        <rFont val="Calibri"/>
        <family val="2"/>
        <scheme val="minor"/>
      </rPr>
      <t xml:space="preserve"> (Chambre de Naturopathie et des thérapies Complémentaires)</t>
    </r>
  </si>
  <si>
    <t>694 14 08 79</t>
  </si>
  <si>
    <t xml:space="preserve">Naturopathie et des thérapies </t>
  </si>
  <si>
    <t>SS02</t>
  </si>
  <si>
    <t>G0202</t>
  </si>
  <si>
    <t>SCOOPS AAMRO</t>
  </si>
  <si>
    <t>677 94 28 68</t>
  </si>
  <si>
    <t>Coopérative des Artisans menuisiers</t>
  </si>
  <si>
    <t>Espace vert (Jardin)</t>
  </si>
  <si>
    <t>EV01</t>
  </si>
  <si>
    <t>EV0101</t>
  </si>
  <si>
    <t>MOGHOMMYIE FOTSO Etienne Aurelien</t>
  </si>
  <si>
    <t>Recettes des loyers</t>
  </si>
  <si>
    <t>656 85 12 05</t>
  </si>
  <si>
    <t>Entretien des plantes médicinales</t>
  </si>
  <si>
    <t>TOTAUX</t>
  </si>
  <si>
    <t>Bafoussam, le</t>
  </si>
  <si>
    <t xml:space="preserve">Vin de petit cola </t>
  </si>
  <si>
    <t>Coffee Wine</t>
  </si>
  <si>
    <t>Vin d'oignon</t>
  </si>
  <si>
    <t>Yanis</t>
  </si>
  <si>
    <t>Vin de Pomme</t>
  </si>
  <si>
    <t>Huille de Centella</t>
  </si>
  <si>
    <t>Huile d'orange</t>
  </si>
  <si>
    <t>Huile de gengimbre</t>
  </si>
  <si>
    <t>Huile de romarin</t>
  </si>
  <si>
    <t>Boite de curcuma</t>
  </si>
  <si>
    <t xml:space="preserve">800g </t>
  </si>
  <si>
    <t>Bitter cola en poudre</t>
  </si>
  <si>
    <t>Thé Yanis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</si>
</sst>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2C0C]d\ mmmm\ yyyy;@"/>
  </numFmts>
  <fonts count="3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lightUp">
        <bgColor theme="3" tint="0.79998168889431442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 readingOrder="1"/>
      <protection locked="0"/>
    </xf>
    <xf numFmtId="0" fontId="9" fillId="2" borderId="2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left" vertical="center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3" fontId="10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12" fillId="4" borderId="4" xfId="0" applyFont="1" applyFill="1" applyBorder="1" applyAlignment="1">
      <alignment vertical="center" wrapText="1"/>
    </xf>
    <xf numFmtId="0" fontId="12" fillId="4" borderId="5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1" fillId="5" borderId="7" xfId="0" applyFont="1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8" fillId="2" borderId="2" xfId="0" applyFont="1" applyFill="1" applyBorder="1" applyAlignment="1" applyProtection="1">
      <alignment horizontal="center" vertical="center" wrapText="1" readingOrder="1"/>
      <protection locked="0"/>
    </xf>
    <xf numFmtId="0" fontId="8" fillId="2" borderId="9" xfId="0" applyFont="1" applyFill="1" applyBorder="1" applyAlignment="1" applyProtection="1">
      <alignment horizontal="left" vertical="center" readingOrder="1"/>
      <protection locked="0"/>
    </xf>
    <xf numFmtId="0" fontId="9" fillId="2" borderId="9" xfId="0" applyFont="1" applyFill="1" applyBorder="1" applyAlignment="1" applyProtection="1">
      <alignment horizontal="center" vertical="center" wrapText="1" readingOrder="1"/>
      <protection locked="0"/>
    </xf>
    <xf numFmtId="0" fontId="8" fillId="2" borderId="9" xfId="0" applyFont="1" applyFill="1" applyBorder="1" applyAlignment="1" applyProtection="1">
      <alignment horizontal="center" vertical="center" wrapText="1" readingOrder="1"/>
      <protection locked="0"/>
    </xf>
    <xf numFmtId="3" fontId="4" fillId="0" borderId="1" xfId="0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0" fontId="4" fillId="6" borderId="1" xfId="0" applyFont="1" applyFill="1" applyBorder="1" applyAlignment="1">
      <alignment horizontal="center" vertical="center"/>
    </xf>
    <xf numFmtId="3" fontId="8" fillId="2" borderId="10" xfId="0" applyNumberFormat="1" applyFont="1" applyFill="1" applyBorder="1" applyAlignment="1" applyProtection="1">
      <alignment horizontal="center" vertical="center" wrapText="1" readingOrder="1"/>
      <protection locked="0"/>
    </xf>
    <xf numFmtId="3" fontId="8" fillId="3" borderId="11" xfId="0" applyNumberFormat="1" applyFont="1" applyFill="1" applyBorder="1" applyAlignment="1" applyProtection="1">
      <alignment horizontal="center" vertical="center" wrapText="1" readingOrder="1"/>
      <protection locked="0"/>
    </xf>
    <xf numFmtId="3" fontId="8" fillId="2" borderId="12" xfId="0" applyNumberFormat="1" applyFont="1" applyFill="1" applyBorder="1" applyAlignment="1" applyProtection="1">
      <alignment horizontal="center" vertical="center" wrapText="1" readingOrder="1"/>
      <protection locked="0"/>
    </xf>
    <xf numFmtId="3" fontId="4" fillId="0" borderId="13" xfId="0" applyNumberFormat="1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 wrapText="1"/>
    </xf>
    <xf numFmtId="3" fontId="10" fillId="0" borderId="1" xfId="0" applyNumberFormat="1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3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 wrapText="1"/>
    </xf>
    <xf numFmtId="17" fontId="18" fillId="7" borderId="17" xfId="0" applyNumberFormat="1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3" fontId="20" fillId="0" borderId="23" xfId="0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3" fontId="21" fillId="0" borderId="23" xfId="0" applyNumberFormat="1" applyFont="1" applyBorder="1" applyAlignment="1">
      <alignment horizontal="center" vertical="center" wrapText="1"/>
    </xf>
    <xf numFmtId="3" fontId="2" fillId="0" borderId="24" xfId="0" applyNumberFormat="1" applyFont="1" applyBorder="1" applyAlignment="1">
      <alignment vertical="center"/>
    </xf>
    <xf numFmtId="3" fontId="2" fillId="0" borderId="23" xfId="0" applyNumberFormat="1" applyFont="1" applyBorder="1" applyAlignment="1">
      <alignment vertical="center"/>
    </xf>
    <xf numFmtId="3" fontId="22" fillId="0" borderId="23" xfId="0" applyNumberFormat="1" applyFont="1" applyBorder="1" applyAlignment="1">
      <alignment vertical="center"/>
    </xf>
    <xf numFmtId="0" fontId="23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right" vertical="center" wrapText="1"/>
    </xf>
    <xf numFmtId="0" fontId="0" fillId="0" borderId="27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0" fontId="23" fillId="0" borderId="3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right" vertical="center" wrapText="1"/>
    </xf>
    <xf numFmtId="0" fontId="0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3" fontId="2" fillId="0" borderId="14" xfId="0" applyNumberFormat="1" applyFont="1" applyBorder="1" applyAlignment="1">
      <alignment vertical="center"/>
    </xf>
    <xf numFmtId="0" fontId="24" fillId="0" borderId="14" xfId="0" applyFont="1" applyBorder="1" applyAlignment="1">
      <alignment horizontal="right" vertical="center"/>
    </xf>
    <xf numFmtId="3" fontId="20" fillId="8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24" fillId="0" borderId="14" xfId="0" applyFont="1" applyBorder="1" applyAlignment="1">
      <alignment horizontal="right" vertical="center" wrapText="1"/>
    </xf>
    <xf numFmtId="3" fontId="20" fillId="8" borderId="31" xfId="0" applyNumberFormat="1" applyFont="1" applyFill="1" applyBorder="1" applyAlignment="1">
      <alignment horizontal="right" vertical="center" wrapText="1"/>
    </xf>
    <xf numFmtId="0" fontId="0" fillId="0" borderId="30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right" vertical="center"/>
    </xf>
    <xf numFmtId="0" fontId="26" fillId="0" borderId="30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 wrapText="1"/>
    </xf>
    <xf numFmtId="3" fontId="20" fillId="0" borderId="13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3" fontId="21" fillId="0" borderId="1" xfId="0" applyNumberFormat="1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 textRotation="255" wrapText="1"/>
    </xf>
    <xf numFmtId="0" fontId="11" fillId="0" borderId="1" xfId="0" applyFont="1" applyBorder="1" applyAlignment="1">
      <alignment horizontal="right" vertical="center"/>
    </xf>
    <xf numFmtId="0" fontId="17" fillId="0" borderId="32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27" fillId="0" borderId="30" xfId="0" applyNumberFormat="1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22" fillId="0" borderId="35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31" fillId="0" borderId="0" xfId="0" applyFont="1"/>
    <xf numFmtId="0" fontId="30" fillId="0" borderId="0" xfId="0" applyFont="1"/>
    <xf numFmtId="0" fontId="32" fillId="0" borderId="0" xfId="0" applyFont="1"/>
    <xf numFmtId="3" fontId="31" fillId="0" borderId="0" xfId="0" applyNumberFormat="1" applyFont="1"/>
    <xf numFmtId="0" fontId="33" fillId="0" borderId="0" xfId="0" applyFont="1"/>
    <xf numFmtId="0" fontId="0" fillId="9" borderId="22" xfId="0" applyFont="1" applyFill="1" applyBorder="1" applyAlignment="1">
      <alignment vertical="center"/>
    </xf>
    <xf numFmtId="0" fontId="0" fillId="9" borderId="23" xfId="0" applyFont="1" applyFill="1" applyBorder="1" applyAlignment="1">
      <alignment vertical="center" wrapText="1"/>
    </xf>
    <xf numFmtId="0" fontId="0" fillId="9" borderId="1" xfId="0" applyFont="1" applyFill="1" applyBorder="1" applyAlignment="1">
      <alignment vertical="center"/>
    </xf>
    <xf numFmtId="0" fontId="8" fillId="3" borderId="9" xfId="0" applyFont="1" applyFill="1" applyBorder="1" applyAlignment="1" applyProtection="1">
      <alignment horizontal="left" vertical="center" readingOrder="1"/>
      <protection locked="0"/>
    </xf>
    <xf numFmtId="0" fontId="8" fillId="3" borderId="9" xfId="0" applyFont="1" applyFill="1" applyBorder="1" applyAlignment="1" applyProtection="1">
      <alignment horizontal="center" vertical="center" wrapText="1" readingOrder="1"/>
      <protection locked="0"/>
    </xf>
    <xf numFmtId="3" fontId="8" fillId="3" borderId="12" xfId="0" applyNumberFormat="1" applyFont="1" applyFill="1" applyBorder="1" applyAlignment="1" applyProtection="1">
      <alignment horizontal="center" vertical="center" wrapText="1" readingOrder="1"/>
      <protection locked="0"/>
    </xf>
    <xf numFmtId="0" fontId="3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 textRotation="255" wrapText="1"/>
    </xf>
    <xf numFmtId="0" fontId="18" fillId="0" borderId="29" xfId="0" applyFont="1" applyBorder="1" applyAlignment="1">
      <alignment horizontal="center" vertical="center" textRotation="255" wrapText="1"/>
    </xf>
    <xf numFmtId="0" fontId="18" fillId="0" borderId="23" xfId="0" applyFont="1" applyBorder="1" applyAlignment="1">
      <alignment horizontal="center" vertical="center" textRotation="255" wrapText="1"/>
    </xf>
    <xf numFmtId="0" fontId="18" fillId="0" borderId="21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textRotation="255" wrapText="1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64" fontId="30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2221923</xdr:colOff>
      <xdr:row>9</xdr:row>
      <xdr:rowOff>0</xdr:rowOff>
    </xdr:to>
    <xdr:sp macro="" textlink="">
      <xdr:nvSpPr>
        <xdr:cNvPr id="6" name="Rectangle à coins arrondis 5"/>
        <xdr:cNvSpPr>
          <a:spLocks noChangeArrowheads="1"/>
        </xdr:cNvSpPr>
      </xdr:nvSpPr>
      <xdr:spPr bwMode="auto">
        <a:xfrm>
          <a:off x="0" y="0"/>
          <a:ext cx="2533650" cy="1835727"/>
        </a:xfrm>
        <a:prstGeom prst="roundRect">
          <a:avLst>
            <a:gd name="adj" fmla="val 16667"/>
          </a:avLst>
        </a:prstGeom>
        <a:noFill/>
        <a:ln>
          <a:noFill/>
        </a:ln>
        <a:extLst/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REPUBLIQUE DU CAMEROUN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Paix- Travail- Patrie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7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MINISTÈRE DES PETITES ET MOYENNES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7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ENTREPRISES, DE L’ECONOMIE SOCIALE ET DE L’ARTISANAT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SECRETARIATGENERAL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VILLAGE ARTISANAL REGIONAL</a:t>
          </a: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DE BAFOUSSAM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982312</xdr:colOff>
      <xdr:row>0</xdr:row>
      <xdr:rowOff>0</xdr:rowOff>
    </xdr:from>
    <xdr:ext cx="947209" cy="846667"/>
    <xdr:pic>
      <xdr:nvPicPr>
        <xdr:cNvPr id="7" name="Image 6" descr="logo minpmeesa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20" r="-4182" b="7960"/>
        <a:stretch>
          <a:fillRect/>
        </a:stretch>
      </xdr:blipFill>
      <xdr:spPr bwMode="auto">
        <a:xfrm>
          <a:off x="5207948" y="0"/>
          <a:ext cx="947209" cy="846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1182337</xdr:colOff>
      <xdr:row>4</xdr:row>
      <xdr:rowOff>116263</xdr:rowOff>
    </xdr:from>
    <xdr:ext cx="525714" cy="481965"/>
    <xdr:pic>
      <xdr:nvPicPr>
        <xdr:cNvPr id="8" name="Image 7" descr="E:\FON_P\PMEESA\VAR_BAF\CELCOM_VARBAF\IMGtravo\log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7973" y="904240"/>
          <a:ext cx="525714" cy="48196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12</xdr:col>
      <xdr:colOff>117763</xdr:colOff>
      <xdr:row>0</xdr:row>
      <xdr:rowOff>0</xdr:rowOff>
    </xdr:from>
    <xdr:to>
      <xdr:col>14</xdr:col>
      <xdr:colOff>1167433</xdr:colOff>
      <xdr:row>8</xdr:row>
      <xdr:rowOff>82261</xdr:rowOff>
    </xdr:to>
    <xdr:sp macro="" textlink="">
      <xdr:nvSpPr>
        <xdr:cNvPr id="9" name="Rectangle à coins arrondis 8"/>
        <xdr:cNvSpPr>
          <a:spLocks noChangeArrowheads="1"/>
        </xdr:cNvSpPr>
      </xdr:nvSpPr>
      <xdr:spPr bwMode="auto">
        <a:xfrm>
          <a:off x="8084127" y="0"/>
          <a:ext cx="2677579" cy="1666875"/>
        </a:xfrm>
        <a:prstGeom prst="roundRect">
          <a:avLst>
            <a:gd name="adj" fmla="val 16667"/>
          </a:avLst>
        </a:prstGeom>
        <a:noFill/>
        <a:ln>
          <a:noFill/>
        </a:ln>
        <a:extLst/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REPUBLIC OF CAMEROON 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Peace- Work- Fatherland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MINISTRY OF SMALL AND MEDIUM SIZED ENTERPRISES,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SOCIAL ECONOMY AND HANDICRAFTS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SECRETARIATGENERAL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BAFOUSSAM  REGIONAL HANDICRAFT VILLAGE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685800</xdr:colOff>
      <xdr:row>6</xdr:row>
      <xdr:rowOff>200025</xdr:rowOff>
    </xdr:to>
    <xdr:sp macro="" textlink="">
      <xdr:nvSpPr>
        <xdr:cNvPr id="2" name="Rectangle à coins arrondis 1"/>
        <xdr:cNvSpPr>
          <a:spLocks noChangeArrowheads="1"/>
        </xdr:cNvSpPr>
      </xdr:nvSpPr>
      <xdr:spPr bwMode="auto">
        <a:xfrm>
          <a:off x="0" y="0"/>
          <a:ext cx="2533650" cy="1628775"/>
        </a:xfrm>
        <a:prstGeom prst="roundRect">
          <a:avLst>
            <a:gd name="adj" fmla="val 16667"/>
          </a:avLst>
        </a:prstGeom>
        <a:noFill/>
        <a:ln>
          <a:noFill/>
        </a:ln>
        <a:extLst/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REPUBLIQUE DU CAMEROUN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Paix- Travail- Patrie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7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MINISTÈRE DES PETITES ET MOYENNES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7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ENTREPRISES, DE L’ECONOMIE SOCIALE ET DE L’ARTISANAT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SECRETARIATGENERAL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VILLAGE ARTISANAL REGIONAL</a:t>
          </a: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DE BAFOUSSAM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8</xdr:col>
      <xdr:colOff>303439</xdr:colOff>
      <xdr:row>0</xdr:row>
      <xdr:rowOff>0</xdr:rowOff>
    </xdr:from>
    <xdr:ext cx="947209" cy="846667"/>
    <xdr:pic>
      <xdr:nvPicPr>
        <xdr:cNvPr id="3" name="Image 2" descr="logo minpmeesa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20" r="-4182" b="7960"/>
        <a:stretch>
          <a:fillRect/>
        </a:stretch>
      </xdr:blipFill>
      <xdr:spPr bwMode="auto">
        <a:xfrm>
          <a:off x="6437539" y="0"/>
          <a:ext cx="947209" cy="846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503464</xdr:colOff>
      <xdr:row>3</xdr:row>
      <xdr:rowOff>189865</xdr:rowOff>
    </xdr:from>
    <xdr:ext cx="525714" cy="481965"/>
    <xdr:pic>
      <xdr:nvPicPr>
        <xdr:cNvPr id="4" name="Image 3" descr="E:\FON_P\PMEESA\VAR_BAF\CELCOM_VARBAF\IMGtravo\log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7564" y="904240"/>
          <a:ext cx="525714" cy="48196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14</xdr:col>
      <xdr:colOff>19050</xdr:colOff>
      <xdr:row>0</xdr:row>
      <xdr:rowOff>0</xdr:rowOff>
    </xdr:from>
    <xdr:to>
      <xdr:col>18</xdr:col>
      <xdr:colOff>220129</xdr:colOff>
      <xdr:row>7</xdr:row>
      <xdr:rowOff>0</xdr:rowOff>
    </xdr:to>
    <xdr:sp macro="" textlink="">
      <xdr:nvSpPr>
        <xdr:cNvPr id="5" name="Rectangle à coins arrondis 4"/>
        <xdr:cNvSpPr>
          <a:spLocks noChangeArrowheads="1"/>
        </xdr:cNvSpPr>
      </xdr:nvSpPr>
      <xdr:spPr bwMode="auto">
        <a:xfrm>
          <a:off x="9867900" y="0"/>
          <a:ext cx="2677579" cy="1666875"/>
        </a:xfrm>
        <a:prstGeom prst="roundRect">
          <a:avLst>
            <a:gd name="adj" fmla="val 16667"/>
          </a:avLst>
        </a:prstGeom>
        <a:noFill/>
        <a:ln>
          <a:noFill/>
        </a:ln>
        <a:extLst/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REPUBLIC OF CAMEROON 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Peace- Work- Fatherland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MINISTRY OF SMALL AND MEDIUM SIZED ENTERPRISES,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SOCIAL ECONOMY AND HANDICRAFTS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SECRETARIATGENERAL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BAFOUSSAM  REGIONAL HANDICRAFT VILLAGE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6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971549</xdr:colOff>
      <xdr:row>1</xdr:row>
      <xdr:rowOff>48895</xdr:rowOff>
    </xdr:from>
    <xdr:to>
      <xdr:col>10</xdr:col>
      <xdr:colOff>1209674</xdr:colOff>
      <xdr:row>11</xdr:row>
      <xdr:rowOff>121920</xdr:rowOff>
    </xdr:to>
    <xdr:sp macro="" textlink="">
      <xdr:nvSpPr>
        <xdr:cNvPr id="2" name="Rectangle à coins arrondis 1"/>
        <xdr:cNvSpPr>
          <a:spLocks noChangeArrowheads="1"/>
        </xdr:cNvSpPr>
      </xdr:nvSpPr>
      <xdr:spPr bwMode="auto">
        <a:xfrm>
          <a:off x="9020174" y="239395"/>
          <a:ext cx="4302125" cy="213677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REPUBLIC OF CAMEROON 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Peace- Work- Fatherland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MINISTRY OF SMALL AND MEDIUM-SIZED ENTERPRISES,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SOCIAL ECONOMY AND HANDICRAFTS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SECRETARIATGENERAL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BAFOUSSAM REGIONAL HANDICRAFTS VILLAGE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en-US" sz="9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982980</xdr:colOff>
      <xdr:row>0</xdr:row>
      <xdr:rowOff>111125</xdr:rowOff>
    </xdr:from>
    <xdr:to>
      <xdr:col>5</xdr:col>
      <xdr:colOff>946150</xdr:colOff>
      <xdr:row>9</xdr:row>
      <xdr:rowOff>15875</xdr:rowOff>
    </xdr:to>
    <xdr:pic>
      <xdr:nvPicPr>
        <xdr:cNvPr id="3" name="Image 2" descr="logominpmeesa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1280" y="111125"/>
          <a:ext cx="1401445" cy="1619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238124</xdr:colOff>
      <xdr:row>1</xdr:row>
      <xdr:rowOff>13334</xdr:rowOff>
    </xdr:from>
    <xdr:to>
      <xdr:col>2</xdr:col>
      <xdr:colOff>238125</xdr:colOff>
      <xdr:row>11</xdr:row>
      <xdr:rowOff>152399</xdr:rowOff>
    </xdr:to>
    <xdr:sp macro="" textlink="">
      <xdr:nvSpPr>
        <xdr:cNvPr id="4" name="Rectangle à coins arrondis 3"/>
        <xdr:cNvSpPr>
          <a:spLocks noChangeArrowheads="1"/>
        </xdr:cNvSpPr>
      </xdr:nvSpPr>
      <xdr:spPr bwMode="auto">
        <a:xfrm>
          <a:off x="238124" y="203834"/>
          <a:ext cx="3429001" cy="220281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REPUBLIQUE DU CAMEROUN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Paix- Travail- Patrie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9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MINISTERE DES PETITES ET MOYENNES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9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ENTREPRISES, DE L’ECONOMIE SOCIALE ET DE L’ARTISANAT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SECRETARIATGENERAL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VILLAGE ARTISANAL REGIONAL 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10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 BAFOUSSAM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0"/>
            </a:spcAft>
          </a:pPr>
          <a:r>
            <a:rPr lang="fr-FR" sz="800" b="1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*****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1219835</xdr:colOff>
      <xdr:row>7</xdr:row>
      <xdr:rowOff>45720</xdr:rowOff>
    </xdr:from>
    <xdr:to>
      <xdr:col>5</xdr:col>
      <xdr:colOff>631695</xdr:colOff>
      <xdr:row>10</xdr:row>
      <xdr:rowOff>156845</xdr:rowOff>
    </xdr:to>
    <xdr:pic>
      <xdr:nvPicPr>
        <xdr:cNvPr id="5" name="Image 4" descr="E:\FON_P\PMEESA\VAR_BAF\CELCOM_VARBAF\IMGtravo\log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8135" y="1436370"/>
          <a:ext cx="821560" cy="68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29"/>
  <sheetViews>
    <sheetView tabSelected="1" view="pageBreakPreview" topLeftCell="A13" zoomScale="110" zoomScaleNormal="70" zoomScaleSheetLayoutView="110"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58.7109375" customWidth="1"/>
    <col min="3" max="3" width="21.28515625" customWidth="1"/>
    <col min="4" max="6" width="18.85546875" customWidth="1"/>
    <col min="7" max="12" width="18.7109375" customWidth="1"/>
    <col min="13" max="13" width="0.28515625" customWidth="1"/>
    <col min="14" max="14" width="17.7109375" customWidth="1"/>
    <col min="15" max="15" width="18.85546875" customWidth="1"/>
    <col min="16" max="16" width="48" customWidth="1"/>
    <col min="17" max="17" width="17.28515625" customWidth="1"/>
    <col min="18" max="19" width="24.42578125" customWidth="1"/>
  </cols>
  <sheetData>
    <row r="2" spans="1:19" s="7" customFormat="1" ht="15.75" x14ac:dyDescent="0.25"/>
    <row r="3" spans="1:19" s="7" customFormat="1" ht="15.75" x14ac:dyDescent="0.25"/>
    <row r="4" spans="1:19" s="7" customFormat="1" ht="15.75" x14ac:dyDescent="0.25"/>
    <row r="5" spans="1:19" s="7" customFormat="1" ht="15.75" x14ac:dyDescent="0.25"/>
    <row r="6" spans="1:19" s="7" customFormat="1" ht="15.75" x14ac:dyDescent="0.25"/>
    <row r="7" spans="1:19" s="7" customFormat="1" ht="15.75" x14ac:dyDescent="0.25"/>
    <row r="8" spans="1:19" s="7" customFormat="1" ht="15.75" x14ac:dyDescent="0.25"/>
    <row r="9" spans="1:19" s="10" customFormat="1" ht="20.25" x14ac:dyDescent="0.3"/>
    <row r="10" spans="1:19" s="10" customFormat="1" ht="20.25" x14ac:dyDescent="0.3"/>
    <row r="11" spans="1:19" s="10" customFormat="1" ht="20.25" x14ac:dyDescent="0.3"/>
    <row r="12" spans="1:19" s="10" customFormat="1" ht="31.5" customHeight="1" x14ac:dyDescent="0.3">
      <c r="B12" s="11" t="s">
        <v>55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9" s="10" customFormat="1" ht="20.25" x14ac:dyDescent="0.3"/>
    <row r="14" spans="1:19" s="10" customFormat="1" ht="20.25" x14ac:dyDescent="0.3"/>
    <row r="15" spans="1:19" s="10" customFormat="1" ht="20.25" x14ac:dyDescent="0.3"/>
    <row r="16" spans="1:19" s="1" customFormat="1" ht="92.25" customHeight="1" thickBot="1" x14ac:dyDescent="0.3">
      <c r="A16" s="20" t="s">
        <v>0</v>
      </c>
      <c r="B16" s="20" t="s">
        <v>31</v>
      </c>
      <c r="C16" s="20" t="s">
        <v>16</v>
      </c>
      <c r="D16" s="20" t="s">
        <v>3</v>
      </c>
      <c r="E16" s="20" t="s">
        <v>4</v>
      </c>
      <c r="F16" s="20" t="s">
        <v>5</v>
      </c>
      <c r="G16" s="20" t="s">
        <v>6</v>
      </c>
      <c r="H16" s="20" t="s">
        <v>7</v>
      </c>
      <c r="I16" s="20" t="s">
        <v>56</v>
      </c>
      <c r="J16" s="19" t="s">
        <v>8</v>
      </c>
      <c r="K16" s="19" t="s">
        <v>9</v>
      </c>
      <c r="L16" s="19" t="s">
        <v>39</v>
      </c>
      <c r="M16" s="19" t="s">
        <v>10</v>
      </c>
      <c r="N16" s="8" t="s">
        <v>52</v>
      </c>
      <c r="O16" s="20" t="s">
        <v>51</v>
      </c>
      <c r="P16" s="20" t="s">
        <v>11</v>
      </c>
      <c r="Q16" s="20" t="s">
        <v>12</v>
      </c>
      <c r="R16" s="20" t="s">
        <v>13</v>
      </c>
      <c r="S16" s="20" t="s">
        <v>14</v>
      </c>
    </row>
    <row r="17" spans="1:19" s="3" customFormat="1" ht="29.25" customHeight="1" thickTop="1" thickBot="1" x14ac:dyDescent="0.3">
      <c r="A17" s="13">
        <v>1</v>
      </c>
      <c r="B17" s="21" t="s">
        <v>44</v>
      </c>
      <c r="C17" s="22"/>
      <c r="D17" s="15"/>
      <c r="E17" s="15"/>
      <c r="F17" s="15"/>
      <c r="G17" s="15"/>
      <c r="H17" s="15"/>
      <c r="I17" s="13" t="s">
        <v>57</v>
      </c>
      <c r="J17" s="15"/>
      <c r="K17" s="15"/>
      <c r="L17" s="16"/>
      <c r="M17" s="17"/>
      <c r="N17" s="34">
        <v>6</v>
      </c>
      <c r="O17" s="42">
        <v>3500</v>
      </c>
      <c r="P17" s="48" t="s">
        <v>53</v>
      </c>
      <c r="Q17" s="47"/>
      <c r="R17" s="15"/>
      <c r="S17" s="15"/>
    </row>
    <row r="18" spans="1:19" s="3" customFormat="1" ht="29.25" customHeight="1" thickBot="1" x14ac:dyDescent="0.3">
      <c r="A18" s="13"/>
      <c r="B18" s="23" t="s">
        <v>45</v>
      </c>
      <c r="C18" s="24"/>
      <c r="D18" s="15"/>
      <c r="E18" s="15"/>
      <c r="F18" s="15"/>
      <c r="G18" s="15"/>
      <c r="H18" s="15"/>
      <c r="I18" s="13" t="s">
        <v>57</v>
      </c>
      <c r="J18" s="15"/>
      <c r="K18" s="15"/>
      <c r="L18" s="16"/>
      <c r="M18" s="17"/>
      <c r="N18" s="24">
        <v>2</v>
      </c>
      <c r="O18" s="43">
        <v>4500</v>
      </c>
      <c r="P18" s="48" t="s">
        <v>53</v>
      </c>
      <c r="Q18" s="47"/>
      <c r="R18" s="15"/>
      <c r="S18" s="15"/>
    </row>
    <row r="19" spans="1:19" s="3" customFormat="1" ht="29.25" customHeight="1" thickTop="1" thickBot="1" x14ac:dyDescent="0.3">
      <c r="A19" s="13"/>
      <c r="B19" s="21" t="s">
        <v>48</v>
      </c>
      <c r="C19" s="22"/>
      <c r="D19" s="15"/>
      <c r="E19" s="15"/>
      <c r="F19" s="15"/>
      <c r="G19" s="15"/>
      <c r="H19" s="15"/>
      <c r="I19" s="13" t="s">
        <v>57</v>
      </c>
      <c r="J19" s="15"/>
      <c r="K19" s="15"/>
      <c r="L19" s="16"/>
      <c r="M19" s="17"/>
      <c r="N19" s="34">
        <v>2</v>
      </c>
      <c r="O19" s="42">
        <v>6500</v>
      </c>
      <c r="P19" s="48" t="s">
        <v>53</v>
      </c>
      <c r="Q19" s="47"/>
      <c r="R19" s="15"/>
      <c r="S19" s="15"/>
    </row>
    <row r="20" spans="1:19" s="3" customFormat="1" ht="29.25" customHeight="1" thickBot="1" x14ac:dyDescent="0.3">
      <c r="A20" s="13"/>
      <c r="B20" s="23" t="s">
        <v>347</v>
      </c>
      <c r="C20" s="24"/>
      <c r="D20" s="15"/>
      <c r="E20" s="15"/>
      <c r="F20" s="15"/>
      <c r="G20" s="15"/>
      <c r="H20" s="15"/>
      <c r="I20" s="13" t="s">
        <v>57</v>
      </c>
      <c r="J20" s="15"/>
      <c r="K20" s="15"/>
      <c r="L20" s="16"/>
      <c r="M20" s="17"/>
      <c r="N20" s="24">
        <v>3</v>
      </c>
      <c r="O20" s="43">
        <v>4000</v>
      </c>
      <c r="P20" s="48" t="s">
        <v>53</v>
      </c>
      <c r="Q20" s="47"/>
      <c r="R20" s="15"/>
      <c r="S20" s="15"/>
    </row>
    <row r="21" spans="1:19" s="3" customFormat="1" ht="29.25" customHeight="1" thickTop="1" thickBot="1" x14ac:dyDescent="0.3">
      <c r="A21" s="13"/>
      <c r="B21" s="21" t="s">
        <v>46</v>
      </c>
      <c r="C21" s="22"/>
      <c r="D21" s="15"/>
      <c r="E21" s="15"/>
      <c r="F21" s="15"/>
      <c r="G21" s="15"/>
      <c r="H21" s="15"/>
      <c r="I21" s="13" t="s">
        <v>57</v>
      </c>
      <c r="J21" s="15"/>
      <c r="K21" s="15"/>
      <c r="L21" s="16"/>
      <c r="M21" s="17"/>
      <c r="N21" s="22">
        <v>4</v>
      </c>
      <c r="O21" s="42">
        <v>4500</v>
      </c>
      <c r="P21" s="48" t="s">
        <v>53</v>
      </c>
      <c r="Q21" s="47"/>
      <c r="R21" s="15"/>
      <c r="S21" s="15"/>
    </row>
    <row r="22" spans="1:19" s="3" customFormat="1" ht="29.25" customHeight="1" thickBot="1" x14ac:dyDescent="0.3">
      <c r="A22" s="13"/>
      <c r="B22" s="23" t="s">
        <v>348</v>
      </c>
      <c r="C22" s="24"/>
      <c r="D22" s="15"/>
      <c r="E22" s="15"/>
      <c r="F22" s="15"/>
      <c r="G22" s="15"/>
      <c r="H22" s="15"/>
      <c r="I22" s="13" t="s">
        <v>57</v>
      </c>
      <c r="J22" s="15"/>
      <c r="K22" s="15"/>
      <c r="L22" s="16"/>
      <c r="M22" s="17"/>
      <c r="N22" s="24">
        <v>4</v>
      </c>
      <c r="O22" s="43">
        <v>4500</v>
      </c>
      <c r="P22" s="48"/>
      <c r="Q22" s="47"/>
      <c r="R22" s="15"/>
      <c r="S22" s="15"/>
    </row>
    <row r="23" spans="1:19" s="3" customFormat="1" ht="29.25" customHeight="1" thickTop="1" thickBot="1" x14ac:dyDescent="0.3">
      <c r="A23" s="13"/>
      <c r="B23" s="21" t="s">
        <v>47</v>
      </c>
      <c r="C23" s="22"/>
      <c r="D23" s="15"/>
      <c r="E23" s="15"/>
      <c r="F23" s="15"/>
      <c r="G23" s="15"/>
      <c r="H23" s="15"/>
      <c r="I23" s="13" t="s">
        <v>57</v>
      </c>
      <c r="J23" s="15"/>
      <c r="K23" s="15"/>
      <c r="L23" s="16"/>
      <c r="M23" s="17"/>
      <c r="N23" s="22">
        <v>1</v>
      </c>
      <c r="O23" s="42">
        <v>4500</v>
      </c>
      <c r="P23" s="48" t="s">
        <v>53</v>
      </c>
      <c r="Q23" s="47"/>
      <c r="R23" s="15"/>
      <c r="S23" s="15"/>
    </row>
    <row r="24" spans="1:19" s="3" customFormat="1" ht="29.25" customHeight="1" thickBot="1" x14ac:dyDescent="0.3">
      <c r="A24" s="13"/>
      <c r="B24" s="23" t="s">
        <v>64</v>
      </c>
      <c r="C24" s="24"/>
      <c r="D24" s="15"/>
      <c r="E24" s="15"/>
      <c r="F24" s="15"/>
      <c r="G24" s="15"/>
      <c r="H24" s="15"/>
      <c r="I24" s="13" t="s">
        <v>57</v>
      </c>
      <c r="J24" s="15"/>
      <c r="K24" s="15"/>
      <c r="L24" s="16"/>
      <c r="M24" s="17"/>
      <c r="N24" s="24">
        <v>9</v>
      </c>
      <c r="O24" s="43">
        <v>4000</v>
      </c>
      <c r="P24" s="48" t="s">
        <v>53</v>
      </c>
      <c r="Q24" s="47"/>
      <c r="R24" s="15"/>
      <c r="S24" s="15"/>
    </row>
    <row r="25" spans="1:19" s="3" customFormat="1" ht="29.25" customHeight="1" thickTop="1" thickBot="1" x14ac:dyDescent="0.3">
      <c r="A25" s="13"/>
      <c r="B25" s="21" t="s">
        <v>349</v>
      </c>
      <c r="C25" s="22"/>
      <c r="D25" s="15"/>
      <c r="E25" s="15"/>
      <c r="F25" s="15"/>
      <c r="G25" s="15"/>
      <c r="H25" s="15"/>
      <c r="I25" s="13" t="s">
        <v>57</v>
      </c>
      <c r="J25" s="15"/>
      <c r="K25" s="15"/>
      <c r="L25" s="16"/>
      <c r="M25" s="17"/>
      <c r="N25" s="22">
        <v>3</v>
      </c>
      <c r="O25" s="42">
        <v>4500</v>
      </c>
      <c r="P25" s="48" t="s">
        <v>53</v>
      </c>
      <c r="Q25" s="47"/>
      <c r="R25" s="15"/>
      <c r="S25" s="15"/>
    </row>
    <row r="26" spans="1:19" s="3" customFormat="1" ht="29.25" customHeight="1" thickBot="1" x14ac:dyDescent="0.3">
      <c r="A26" s="13"/>
      <c r="B26" s="23" t="s">
        <v>351</v>
      </c>
      <c r="C26" s="24"/>
      <c r="D26" s="15"/>
      <c r="E26" s="15"/>
      <c r="F26" s="15"/>
      <c r="G26" s="15"/>
      <c r="H26" s="15"/>
      <c r="I26" s="13" t="s">
        <v>57</v>
      </c>
      <c r="J26" s="15"/>
      <c r="K26" s="15"/>
      <c r="L26" s="16"/>
      <c r="M26" s="17"/>
      <c r="N26" s="24">
        <v>4</v>
      </c>
      <c r="O26" s="43">
        <v>4500</v>
      </c>
      <c r="P26" s="48" t="s">
        <v>53</v>
      </c>
      <c r="Q26" s="47"/>
      <c r="R26" s="15"/>
      <c r="S26" s="15"/>
    </row>
    <row r="27" spans="1:19" s="3" customFormat="1" ht="29.25" customHeight="1" thickTop="1" thickBot="1" x14ac:dyDescent="0.3">
      <c r="A27" s="13"/>
      <c r="B27" s="21" t="s">
        <v>350</v>
      </c>
      <c r="C27" s="22"/>
      <c r="D27" s="15"/>
      <c r="E27" s="15"/>
      <c r="F27" s="15"/>
      <c r="G27" s="15"/>
      <c r="H27" s="15"/>
      <c r="I27" s="13" t="s">
        <v>57</v>
      </c>
      <c r="J27" s="15"/>
      <c r="K27" s="15"/>
      <c r="L27" s="16"/>
      <c r="M27" s="17"/>
      <c r="N27" s="22">
        <v>1</v>
      </c>
      <c r="O27" s="42">
        <v>4000</v>
      </c>
      <c r="P27" s="48" t="s">
        <v>53</v>
      </c>
      <c r="Q27" s="47"/>
      <c r="R27" s="15"/>
      <c r="S27" s="15"/>
    </row>
    <row r="28" spans="1:19" s="3" customFormat="1" ht="29.25" customHeight="1" thickBot="1" x14ac:dyDescent="0.3">
      <c r="A28" s="13"/>
      <c r="B28" s="23" t="s">
        <v>352</v>
      </c>
      <c r="C28" s="24"/>
      <c r="D28" s="15"/>
      <c r="E28" s="15"/>
      <c r="F28" s="15"/>
      <c r="G28" s="15"/>
      <c r="H28" s="15"/>
      <c r="I28" s="13"/>
      <c r="J28" s="15"/>
      <c r="K28" s="15"/>
      <c r="L28" s="16"/>
      <c r="M28" s="17"/>
      <c r="N28" s="24">
        <v>4</v>
      </c>
      <c r="O28" s="43">
        <v>3500</v>
      </c>
      <c r="P28" s="48" t="s">
        <v>53</v>
      </c>
      <c r="Q28" s="47"/>
      <c r="R28" s="15"/>
      <c r="S28" s="15"/>
    </row>
    <row r="29" spans="1:19" s="3" customFormat="1" ht="29.25" customHeight="1" thickTop="1" thickBot="1" x14ac:dyDescent="0.3">
      <c r="A29" s="13"/>
      <c r="B29" s="21" t="s">
        <v>353</v>
      </c>
      <c r="C29" s="22"/>
      <c r="D29" s="15"/>
      <c r="E29" s="15"/>
      <c r="F29" s="15"/>
      <c r="G29" s="15"/>
      <c r="H29" s="15"/>
      <c r="I29" s="13"/>
      <c r="J29" s="15"/>
      <c r="K29" s="15"/>
      <c r="L29" s="16"/>
      <c r="M29" s="17"/>
      <c r="N29" s="22">
        <v>1</v>
      </c>
      <c r="O29" s="42">
        <v>3500</v>
      </c>
      <c r="P29" s="48" t="s">
        <v>53</v>
      </c>
      <c r="Q29" s="47"/>
      <c r="R29" s="15"/>
      <c r="S29" s="15"/>
    </row>
    <row r="30" spans="1:19" s="3" customFormat="1" ht="29.25" customHeight="1" thickBot="1" x14ac:dyDescent="0.3">
      <c r="A30" s="13"/>
      <c r="B30" s="23" t="s">
        <v>354</v>
      </c>
      <c r="C30" s="24"/>
      <c r="D30" s="15"/>
      <c r="E30" s="15"/>
      <c r="F30" s="15"/>
      <c r="G30" s="15"/>
      <c r="H30" s="15"/>
      <c r="I30" s="13"/>
      <c r="J30" s="15"/>
      <c r="K30" s="15"/>
      <c r="L30" s="16"/>
      <c r="M30" s="17"/>
      <c r="N30" s="24">
        <v>1</v>
      </c>
      <c r="O30" s="43">
        <v>3000</v>
      </c>
      <c r="P30" s="48" t="s">
        <v>53</v>
      </c>
      <c r="Q30" s="47"/>
      <c r="R30" s="15"/>
      <c r="S30" s="15"/>
    </row>
    <row r="31" spans="1:19" s="3" customFormat="1" ht="29.25" customHeight="1" thickTop="1" thickBot="1" x14ac:dyDescent="0.3">
      <c r="A31" s="13"/>
      <c r="B31" s="21" t="s">
        <v>355</v>
      </c>
      <c r="C31" s="22"/>
      <c r="D31" s="15"/>
      <c r="E31" s="15"/>
      <c r="F31" s="15"/>
      <c r="G31" s="15"/>
      <c r="H31" s="15"/>
      <c r="I31" s="13"/>
      <c r="J31" s="15"/>
      <c r="K31" s="15"/>
      <c r="L31" s="16"/>
      <c r="M31" s="17"/>
      <c r="N31" s="22">
        <v>6</v>
      </c>
      <c r="O31" s="42">
        <v>3500</v>
      </c>
      <c r="P31" s="48" t="s">
        <v>53</v>
      </c>
      <c r="Q31" s="47"/>
      <c r="R31" s="15"/>
      <c r="S31" s="15"/>
    </row>
    <row r="32" spans="1:19" s="3" customFormat="1" ht="29.25" customHeight="1" thickBot="1" x14ac:dyDescent="0.3">
      <c r="A32" s="13"/>
      <c r="B32" s="23" t="s">
        <v>356</v>
      </c>
      <c r="C32" s="24"/>
      <c r="D32" s="15"/>
      <c r="E32" s="15"/>
      <c r="F32" s="15"/>
      <c r="G32" s="15"/>
      <c r="H32" s="15"/>
      <c r="I32" s="13" t="s">
        <v>357</v>
      </c>
      <c r="J32" s="15"/>
      <c r="K32" s="15"/>
      <c r="L32" s="16"/>
      <c r="M32" s="17"/>
      <c r="N32" s="24">
        <v>3</v>
      </c>
      <c r="O32" s="43">
        <v>3000</v>
      </c>
      <c r="P32" s="48" t="s">
        <v>53</v>
      </c>
      <c r="Q32" s="47"/>
      <c r="R32" s="15"/>
      <c r="S32" s="15"/>
    </row>
    <row r="33" spans="1:19" s="3" customFormat="1" ht="29.25" customHeight="1" thickTop="1" thickBot="1" x14ac:dyDescent="0.3">
      <c r="A33" s="13"/>
      <c r="B33" s="21" t="s">
        <v>358</v>
      </c>
      <c r="C33" s="22"/>
      <c r="D33" s="15"/>
      <c r="E33" s="15"/>
      <c r="F33" s="15"/>
      <c r="G33" s="15"/>
      <c r="H33" s="15"/>
      <c r="I33" s="13"/>
      <c r="J33" s="15"/>
      <c r="K33" s="15"/>
      <c r="L33" s="16"/>
      <c r="M33" s="17"/>
      <c r="N33" s="22">
        <v>1</v>
      </c>
      <c r="O33" s="42">
        <v>2500</v>
      </c>
      <c r="P33" s="48" t="s">
        <v>53</v>
      </c>
      <c r="Q33" s="47"/>
      <c r="R33" s="15"/>
      <c r="S33" s="15"/>
    </row>
    <row r="34" spans="1:19" s="3" customFormat="1" ht="29.25" customHeight="1" thickBot="1" x14ac:dyDescent="0.3">
      <c r="A34" s="13"/>
      <c r="B34" s="117" t="s">
        <v>359</v>
      </c>
      <c r="C34" s="118"/>
      <c r="D34" s="15"/>
      <c r="E34" s="15"/>
      <c r="F34" s="15"/>
      <c r="G34" s="15"/>
      <c r="H34" s="15"/>
      <c r="I34" s="13"/>
      <c r="J34" s="15"/>
      <c r="K34" s="15"/>
      <c r="L34" s="16"/>
      <c r="M34" s="17"/>
      <c r="N34" s="118">
        <v>4</v>
      </c>
      <c r="O34" s="119">
        <v>2000</v>
      </c>
      <c r="P34" s="48" t="s">
        <v>53</v>
      </c>
      <c r="Q34" s="47"/>
      <c r="R34" s="15"/>
      <c r="S34" s="15"/>
    </row>
    <row r="35" spans="1:19" s="3" customFormat="1" ht="29.25" customHeight="1" thickTop="1" thickBot="1" x14ac:dyDescent="0.3">
      <c r="A35" s="13"/>
      <c r="B35" s="21" t="s">
        <v>49</v>
      </c>
      <c r="C35" s="22"/>
      <c r="D35" s="15"/>
      <c r="E35" s="15"/>
      <c r="F35" s="15"/>
      <c r="G35" s="15"/>
      <c r="H35" s="15"/>
      <c r="I35" s="13" t="s">
        <v>57</v>
      </c>
      <c r="J35" s="15"/>
      <c r="K35" s="15"/>
      <c r="L35" s="16"/>
      <c r="M35" s="17"/>
      <c r="N35" s="22">
        <v>5</v>
      </c>
      <c r="O35" s="42">
        <v>3500</v>
      </c>
      <c r="P35" s="48" t="s">
        <v>54</v>
      </c>
      <c r="Q35" s="47"/>
      <c r="R35" s="15"/>
      <c r="S35" s="15"/>
    </row>
    <row r="36" spans="1:19" s="3" customFormat="1" ht="29.25" customHeight="1" thickBot="1" x14ac:dyDescent="0.3">
      <c r="A36" s="13"/>
      <c r="B36" s="23" t="s">
        <v>50</v>
      </c>
      <c r="C36" s="24"/>
      <c r="D36" s="15"/>
      <c r="E36" s="15"/>
      <c r="F36" s="15"/>
      <c r="G36" s="15"/>
      <c r="H36" s="15"/>
      <c r="I36" s="13" t="s">
        <v>57</v>
      </c>
      <c r="J36" s="15"/>
      <c r="K36" s="15"/>
      <c r="L36" s="16"/>
      <c r="M36" s="17"/>
      <c r="N36" s="24">
        <v>6</v>
      </c>
      <c r="O36" s="43">
        <v>3500</v>
      </c>
      <c r="P36" s="48" t="s">
        <v>54</v>
      </c>
      <c r="Q36" s="47"/>
      <c r="R36" s="15"/>
      <c r="S36" s="15"/>
    </row>
    <row r="37" spans="1:19" s="3" customFormat="1" ht="29.25" customHeight="1" thickTop="1" thickBot="1" x14ac:dyDescent="0.3">
      <c r="A37" s="13"/>
      <c r="B37" s="21" t="s">
        <v>81</v>
      </c>
      <c r="C37" s="22"/>
      <c r="D37" s="15"/>
      <c r="E37" s="15"/>
      <c r="F37" s="15"/>
      <c r="G37" s="15"/>
      <c r="H37" s="15"/>
      <c r="I37" s="13" t="s">
        <v>57</v>
      </c>
      <c r="J37" s="15"/>
      <c r="K37" s="15"/>
      <c r="L37" s="16"/>
      <c r="M37" s="17"/>
      <c r="N37" s="22">
        <v>6</v>
      </c>
      <c r="O37" s="42">
        <v>3500</v>
      </c>
      <c r="P37" s="48" t="s">
        <v>54</v>
      </c>
      <c r="Q37" s="47"/>
      <c r="R37" s="15"/>
      <c r="S37" s="15"/>
    </row>
    <row r="38" spans="1:19" s="3" customFormat="1" ht="29.25" customHeight="1" thickBot="1" x14ac:dyDescent="0.3">
      <c r="A38" s="13"/>
      <c r="B38" s="23" t="s">
        <v>58</v>
      </c>
      <c r="C38" s="24"/>
      <c r="D38" s="15"/>
      <c r="E38" s="15"/>
      <c r="F38" s="15"/>
      <c r="G38" s="15"/>
      <c r="H38" s="15"/>
      <c r="I38" s="13" t="s">
        <v>57</v>
      </c>
      <c r="J38" s="15"/>
      <c r="K38" s="15"/>
      <c r="L38" s="16"/>
      <c r="M38" s="17"/>
      <c r="N38" s="24">
        <v>12</v>
      </c>
      <c r="O38" s="43">
        <v>2500</v>
      </c>
      <c r="P38" s="48" t="s">
        <v>60</v>
      </c>
      <c r="Q38" s="47" t="s">
        <v>61</v>
      </c>
      <c r="R38" s="15"/>
      <c r="S38" s="15"/>
    </row>
    <row r="39" spans="1:19" s="3" customFormat="1" ht="29.25" customHeight="1" thickTop="1" thickBot="1" x14ac:dyDescent="0.3">
      <c r="A39" s="13"/>
      <c r="B39" s="21" t="s">
        <v>59</v>
      </c>
      <c r="C39" s="22"/>
      <c r="D39" s="15"/>
      <c r="E39" s="15"/>
      <c r="F39" s="15"/>
      <c r="G39" s="15"/>
      <c r="H39" s="15"/>
      <c r="I39" s="13" t="s">
        <v>57</v>
      </c>
      <c r="J39" s="15"/>
      <c r="K39" s="15"/>
      <c r="L39" s="16"/>
      <c r="M39" s="17"/>
      <c r="N39" s="34">
        <v>12</v>
      </c>
      <c r="O39" s="42">
        <v>2500</v>
      </c>
      <c r="P39" s="48" t="s">
        <v>60</v>
      </c>
      <c r="Q39" s="47" t="s">
        <v>61</v>
      </c>
      <c r="R39" s="15"/>
      <c r="S39" s="15"/>
    </row>
    <row r="40" spans="1:19" s="3" customFormat="1" ht="29.25" customHeight="1" thickBot="1" x14ac:dyDescent="0.3">
      <c r="A40" s="13"/>
      <c r="B40" s="23" t="s">
        <v>71</v>
      </c>
      <c r="C40" s="24"/>
      <c r="D40" s="15"/>
      <c r="E40" s="15"/>
      <c r="F40" s="15"/>
      <c r="G40" s="15"/>
      <c r="H40" s="15"/>
      <c r="I40" s="13" t="s">
        <v>72</v>
      </c>
      <c r="J40" s="15"/>
      <c r="K40" s="15"/>
      <c r="L40" s="16"/>
      <c r="M40" s="17"/>
      <c r="N40" s="24">
        <v>10</v>
      </c>
      <c r="O40" s="43">
        <v>1250</v>
      </c>
      <c r="P40" s="48" t="s">
        <v>80</v>
      </c>
      <c r="Q40" s="47" t="s">
        <v>73</v>
      </c>
      <c r="R40" s="15"/>
      <c r="S40" s="15"/>
    </row>
    <row r="41" spans="1:19" s="3" customFormat="1" ht="29.25" customHeight="1" thickTop="1" thickBot="1" x14ac:dyDescent="0.3">
      <c r="A41" s="13"/>
      <c r="B41" s="21" t="s">
        <v>74</v>
      </c>
      <c r="C41" s="22"/>
      <c r="D41" s="15"/>
      <c r="E41" s="15"/>
      <c r="F41" s="15"/>
      <c r="G41" s="15"/>
      <c r="H41" s="15"/>
      <c r="I41" s="13" t="s">
        <v>72</v>
      </c>
      <c r="J41" s="15"/>
      <c r="K41" s="15"/>
      <c r="L41" s="16"/>
      <c r="M41" s="17"/>
      <c r="N41" s="34">
        <v>8</v>
      </c>
      <c r="O41" s="42">
        <v>1000</v>
      </c>
      <c r="P41" s="48" t="s">
        <v>80</v>
      </c>
      <c r="Q41" s="47" t="s">
        <v>73</v>
      </c>
      <c r="R41" s="15"/>
      <c r="S41" s="15"/>
    </row>
    <row r="42" spans="1:19" s="3" customFormat="1" ht="29.25" customHeight="1" thickBot="1" x14ac:dyDescent="0.3">
      <c r="A42" s="13"/>
      <c r="B42" s="23" t="s">
        <v>75</v>
      </c>
      <c r="C42" s="24"/>
      <c r="D42" s="15"/>
      <c r="E42" s="15"/>
      <c r="F42" s="15"/>
      <c r="G42" s="15"/>
      <c r="H42" s="15"/>
      <c r="I42" s="13" t="s">
        <v>76</v>
      </c>
      <c r="J42" s="15"/>
      <c r="K42" s="15"/>
      <c r="L42" s="16"/>
      <c r="M42" s="17"/>
      <c r="N42" s="24">
        <v>7</v>
      </c>
      <c r="O42" s="43">
        <v>3000</v>
      </c>
      <c r="P42" s="48" t="s">
        <v>80</v>
      </c>
      <c r="Q42" s="47" t="s">
        <v>73</v>
      </c>
      <c r="R42" s="15"/>
      <c r="S42" s="15"/>
    </row>
    <row r="43" spans="1:19" s="3" customFormat="1" ht="29.25" customHeight="1" thickTop="1" thickBot="1" x14ac:dyDescent="0.3">
      <c r="A43" s="13"/>
      <c r="B43" s="21" t="s">
        <v>77</v>
      </c>
      <c r="C43" s="22"/>
      <c r="D43" s="15"/>
      <c r="E43" s="15"/>
      <c r="F43" s="15"/>
      <c r="G43" s="15"/>
      <c r="H43" s="15"/>
      <c r="I43" s="13" t="s">
        <v>76</v>
      </c>
      <c r="J43" s="15"/>
      <c r="K43" s="15"/>
      <c r="L43" s="16"/>
      <c r="M43" s="17"/>
      <c r="N43" s="34">
        <v>3</v>
      </c>
      <c r="O43" s="42">
        <v>2500</v>
      </c>
      <c r="P43" s="48" t="s">
        <v>80</v>
      </c>
      <c r="Q43" s="47" t="s">
        <v>73</v>
      </c>
      <c r="R43" s="15"/>
      <c r="S43" s="15"/>
    </row>
    <row r="44" spans="1:19" s="3" customFormat="1" ht="29.25" customHeight="1" thickBot="1" x14ac:dyDescent="0.3">
      <c r="A44" s="13"/>
      <c r="B44" s="23" t="s">
        <v>78</v>
      </c>
      <c r="C44" s="24"/>
      <c r="D44" s="15"/>
      <c r="E44" s="15"/>
      <c r="F44" s="15"/>
      <c r="G44" s="15"/>
      <c r="H44" s="15"/>
      <c r="I44" s="13" t="s">
        <v>57</v>
      </c>
      <c r="J44" s="15"/>
      <c r="K44" s="15"/>
      <c r="L44" s="16"/>
      <c r="M44" s="17"/>
      <c r="N44" s="24">
        <v>6</v>
      </c>
      <c r="O44" s="43">
        <v>5000</v>
      </c>
      <c r="P44" s="48" t="s">
        <v>80</v>
      </c>
      <c r="Q44" s="47" t="s">
        <v>73</v>
      </c>
      <c r="R44" s="15"/>
      <c r="S44" s="15"/>
    </row>
    <row r="45" spans="1:19" s="3" customFormat="1" ht="29.25" customHeight="1" thickBot="1" x14ac:dyDescent="0.3">
      <c r="A45" s="13"/>
      <c r="B45" s="35" t="s">
        <v>79</v>
      </c>
      <c r="C45" s="36"/>
      <c r="D45" s="15"/>
      <c r="E45" s="15"/>
      <c r="F45" s="15"/>
      <c r="G45" s="15"/>
      <c r="H45" s="15"/>
      <c r="I45" s="13" t="s">
        <v>57</v>
      </c>
      <c r="J45" s="15"/>
      <c r="K45" s="15"/>
      <c r="L45" s="16"/>
      <c r="M45" s="17"/>
      <c r="N45" s="37">
        <v>2</v>
      </c>
      <c r="O45" s="44">
        <v>5000</v>
      </c>
      <c r="P45" s="48" t="s">
        <v>80</v>
      </c>
      <c r="Q45" s="47" t="s">
        <v>73</v>
      </c>
      <c r="R45" s="15"/>
      <c r="S45" s="15"/>
    </row>
    <row r="46" spans="1:19" s="3" customFormat="1" ht="29.25" customHeight="1" thickBot="1" x14ac:dyDescent="0.3">
      <c r="A46" s="13"/>
      <c r="B46" s="23" t="s">
        <v>64</v>
      </c>
      <c r="C46" s="24"/>
      <c r="D46" s="15"/>
      <c r="E46" s="15"/>
      <c r="F46" s="15"/>
      <c r="G46" s="15"/>
      <c r="H46" s="15"/>
      <c r="I46" s="13" t="s">
        <v>57</v>
      </c>
      <c r="J46" s="15"/>
      <c r="K46" s="15"/>
      <c r="L46" s="16"/>
      <c r="M46" s="17"/>
      <c r="N46" s="24">
        <v>12</v>
      </c>
      <c r="O46" s="43">
        <v>3500</v>
      </c>
      <c r="P46" s="48" t="s">
        <v>62</v>
      </c>
      <c r="Q46" s="47" t="s">
        <v>157</v>
      </c>
      <c r="R46" s="15"/>
      <c r="S46" s="15"/>
    </row>
    <row r="47" spans="1:19" s="3" customFormat="1" ht="29.25" customHeight="1" thickTop="1" thickBot="1" x14ac:dyDescent="0.3">
      <c r="A47" s="13"/>
      <c r="B47" s="21" t="s">
        <v>65</v>
      </c>
      <c r="C47" s="22"/>
      <c r="D47" s="15"/>
      <c r="E47" s="15"/>
      <c r="F47" s="15"/>
      <c r="G47" s="15"/>
      <c r="H47" s="15"/>
      <c r="I47" s="13" t="s">
        <v>67</v>
      </c>
      <c r="J47" s="15"/>
      <c r="K47" s="15"/>
      <c r="L47" s="16"/>
      <c r="M47" s="17"/>
      <c r="N47" s="22">
        <v>2</v>
      </c>
      <c r="O47" s="42">
        <v>10000</v>
      </c>
      <c r="P47" s="48" t="s">
        <v>62</v>
      </c>
      <c r="Q47" s="47" t="s">
        <v>158</v>
      </c>
      <c r="R47" s="15"/>
      <c r="S47" s="15"/>
    </row>
    <row r="48" spans="1:19" s="3" customFormat="1" ht="29.25" customHeight="1" thickBot="1" x14ac:dyDescent="0.3">
      <c r="A48" s="13"/>
      <c r="B48" s="23" t="s">
        <v>65</v>
      </c>
      <c r="C48" s="24"/>
      <c r="D48" s="15"/>
      <c r="E48" s="15"/>
      <c r="F48" s="15"/>
      <c r="G48" s="15"/>
      <c r="H48" s="15"/>
      <c r="I48" s="13" t="s">
        <v>68</v>
      </c>
      <c r="J48" s="15"/>
      <c r="K48" s="15"/>
      <c r="L48" s="16"/>
      <c r="M48" s="17"/>
      <c r="N48" s="24">
        <v>4</v>
      </c>
      <c r="O48" s="43">
        <v>1500</v>
      </c>
      <c r="P48" s="48" t="s">
        <v>62</v>
      </c>
      <c r="Q48" s="47" t="s">
        <v>158</v>
      </c>
      <c r="R48" s="15"/>
      <c r="S48" s="15"/>
    </row>
    <row r="49" spans="1:19" s="3" customFormat="1" ht="29.25" customHeight="1" thickTop="1" thickBot="1" x14ac:dyDescent="0.3">
      <c r="A49" s="13"/>
      <c r="B49" s="21" t="s">
        <v>66</v>
      </c>
      <c r="C49" s="22"/>
      <c r="D49" s="15"/>
      <c r="E49" s="15"/>
      <c r="F49" s="15"/>
      <c r="G49" s="15"/>
      <c r="H49" s="15"/>
      <c r="I49" s="13" t="s">
        <v>67</v>
      </c>
      <c r="J49" s="15"/>
      <c r="K49" s="15"/>
      <c r="L49" s="16"/>
      <c r="M49" s="17"/>
      <c r="N49" s="34">
        <v>24</v>
      </c>
      <c r="O49" s="42">
        <v>350</v>
      </c>
      <c r="P49" s="48" t="s">
        <v>62</v>
      </c>
      <c r="Q49" s="47" t="s">
        <v>158</v>
      </c>
      <c r="R49" s="15"/>
      <c r="S49" s="15"/>
    </row>
    <row r="50" spans="1:19" s="3" customFormat="1" ht="29.25" customHeight="1" thickBot="1" x14ac:dyDescent="0.3">
      <c r="A50" s="13"/>
      <c r="B50" s="23" t="s">
        <v>69</v>
      </c>
      <c r="C50" s="24"/>
      <c r="D50" s="15"/>
      <c r="E50" s="15"/>
      <c r="F50" s="15"/>
      <c r="G50" s="15"/>
      <c r="H50" s="15"/>
      <c r="I50" s="13" t="s">
        <v>70</v>
      </c>
      <c r="J50" s="15"/>
      <c r="K50" s="15"/>
      <c r="L50" s="16"/>
      <c r="M50" s="17"/>
      <c r="N50" s="24">
        <v>20</v>
      </c>
      <c r="O50" s="43">
        <v>3500</v>
      </c>
      <c r="P50" s="48" t="s">
        <v>63</v>
      </c>
      <c r="Q50" s="47" t="s">
        <v>159</v>
      </c>
      <c r="R50" s="15"/>
      <c r="S50" s="15"/>
    </row>
    <row r="51" spans="1:19" s="3" customFormat="1" ht="29.25" customHeight="1" thickTop="1" thickBot="1" x14ac:dyDescent="0.3">
      <c r="A51" s="13"/>
      <c r="B51" s="14" t="s">
        <v>103</v>
      </c>
      <c r="C51" s="15"/>
      <c r="D51" s="15"/>
      <c r="E51" s="15"/>
      <c r="F51" s="15"/>
      <c r="G51" s="15"/>
      <c r="H51" s="15"/>
      <c r="I51" s="15"/>
      <c r="J51" s="15"/>
      <c r="K51" s="15"/>
      <c r="L51" s="16"/>
      <c r="M51" s="17"/>
      <c r="N51" s="39">
        <v>2</v>
      </c>
      <c r="O51" s="42"/>
      <c r="P51" s="48" t="s">
        <v>113</v>
      </c>
      <c r="Q51" s="47" t="s">
        <v>160</v>
      </c>
      <c r="R51" s="15"/>
      <c r="S51" s="15"/>
    </row>
    <row r="52" spans="1:19" s="3" customFormat="1" ht="29.25" customHeight="1" thickTop="1" thickBot="1" x14ac:dyDescent="0.3">
      <c r="A52" s="13"/>
      <c r="B52" s="14" t="s">
        <v>104</v>
      </c>
      <c r="C52" s="15"/>
      <c r="D52" s="15"/>
      <c r="E52" s="15"/>
      <c r="F52" s="15"/>
      <c r="G52" s="15"/>
      <c r="H52" s="15"/>
      <c r="I52" s="15"/>
      <c r="J52" s="15"/>
      <c r="K52" s="15"/>
      <c r="L52" s="16"/>
      <c r="M52" s="17"/>
      <c r="N52" s="39">
        <v>4</v>
      </c>
      <c r="O52" s="42">
        <v>1000</v>
      </c>
      <c r="P52" s="48" t="s">
        <v>113</v>
      </c>
      <c r="Q52" s="47" t="s">
        <v>112</v>
      </c>
      <c r="R52" s="15"/>
      <c r="S52" s="15"/>
    </row>
    <row r="53" spans="1:19" s="3" customFormat="1" ht="29.25" customHeight="1" thickTop="1" thickBot="1" x14ac:dyDescent="0.3">
      <c r="A53" s="13"/>
      <c r="B53" s="14" t="s">
        <v>105</v>
      </c>
      <c r="C53" s="15"/>
      <c r="D53" s="15"/>
      <c r="E53" s="15"/>
      <c r="F53" s="15"/>
      <c r="G53" s="15"/>
      <c r="H53" s="15"/>
      <c r="I53" s="15"/>
      <c r="J53" s="15"/>
      <c r="K53" s="15"/>
      <c r="L53" s="16"/>
      <c r="M53" s="17"/>
      <c r="N53" s="39">
        <v>3</v>
      </c>
      <c r="O53" s="42"/>
      <c r="P53" s="48" t="s">
        <v>113</v>
      </c>
      <c r="Q53" s="47" t="s">
        <v>112</v>
      </c>
      <c r="R53" s="15"/>
      <c r="S53" s="15"/>
    </row>
    <row r="54" spans="1:19" s="3" customFormat="1" ht="29.25" customHeight="1" thickTop="1" thickBot="1" x14ac:dyDescent="0.3">
      <c r="A54" s="13"/>
      <c r="B54" s="14" t="s">
        <v>106</v>
      </c>
      <c r="C54" s="15"/>
      <c r="D54" s="15"/>
      <c r="E54" s="15"/>
      <c r="F54" s="15"/>
      <c r="G54" s="15"/>
      <c r="H54" s="15"/>
      <c r="I54" s="15"/>
      <c r="J54" s="15"/>
      <c r="K54" s="15"/>
      <c r="L54" s="16"/>
      <c r="M54" s="17"/>
      <c r="N54" s="39">
        <v>7</v>
      </c>
      <c r="O54" s="42">
        <v>1500</v>
      </c>
      <c r="P54" s="48" t="s">
        <v>113</v>
      </c>
      <c r="Q54" s="47" t="s">
        <v>112</v>
      </c>
      <c r="R54" s="15"/>
      <c r="S54" s="15"/>
    </row>
    <row r="55" spans="1:19" s="3" customFormat="1" ht="29.25" customHeight="1" thickTop="1" thickBot="1" x14ac:dyDescent="0.3">
      <c r="A55" s="13"/>
      <c r="B55" s="14" t="s">
        <v>107</v>
      </c>
      <c r="C55" s="15"/>
      <c r="D55" s="15"/>
      <c r="E55" s="15"/>
      <c r="F55" s="15"/>
      <c r="G55" s="15"/>
      <c r="H55" s="15"/>
      <c r="I55" s="15"/>
      <c r="J55" s="15"/>
      <c r="K55" s="15"/>
      <c r="L55" s="16"/>
      <c r="M55" s="17"/>
      <c r="N55" s="39">
        <v>2</v>
      </c>
      <c r="O55" s="42">
        <v>1500</v>
      </c>
      <c r="P55" s="48" t="s">
        <v>113</v>
      </c>
      <c r="Q55" s="47" t="s">
        <v>112</v>
      </c>
      <c r="R55" s="15"/>
      <c r="S55" s="15"/>
    </row>
    <row r="56" spans="1:19" s="3" customFormat="1" ht="29.25" customHeight="1" thickTop="1" thickBot="1" x14ac:dyDescent="0.3">
      <c r="A56" s="13"/>
      <c r="B56" s="14" t="s">
        <v>108</v>
      </c>
      <c r="C56" s="15"/>
      <c r="D56" s="15"/>
      <c r="E56" s="15"/>
      <c r="F56" s="15"/>
      <c r="G56" s="15"/>
      <c r="H56" s="15"/>
      <c r="I56" s="15"/>
      <c r="J56" s="15"/>
      <c r="K56" s="15"/>
      <c r="L56" s="16"/>
      <c r="M56" s="17"/>
      <c r="N56" s="39">
        <v>1</v>
      </c>
      <c r="O56" s="42"/>
      <c r="P56" s="48" t="s">
        <v>113</v>
      </c>
      <c r="Q56" s="47" t="s">
        <v>112</v>
      </c>
      <c r="R56" s="15"/>
      <c r="S56" s="15"/>
    </row>
    <row r="57" spans="1:19" s="3" customFormat="1" ht="29.25" customHeight="1" thickTop="1" thickBot="1" x14ac:dyDescent="0.3">
      <c r="A57" s="13"/>
      <c r="B57" s="14" t="s">
        <v>109</v>
      </c>
      <c r="C57" s="15"/>
      <c r="D57" s="15"/>
      <c r="E57" s="15"/>
      <c r="F57" s="15"/>
      <c r="G57" s="15"/>
      <c r="H57" s="15"/>
      <c r="I57" s="15"/>
      <c r="J57" s="15"/>
      <c r="K57" s="15"/>
      <c r="L57" s="16"/>
      <c r="M57" s="17"/>
      <c r="N57" s="39">
        <v>1</v>
      </c>
      <c r="O57" s="42">
        <v>1500</v>
      </c>
      <c r="P57" s="48" t="s">
        <v>113</v>
      </c>
      <c r="Q57" s="47" t="s">
        <v>112</v>
      </c>
      <c r="R57" s="15"/>
      <c r="S57" s="15"/>
    </row>
    <row r="58" spans="1:19" s="3" customFormat="1" ht="29.25" customHeight="1" thickTop="1" thickBot="1" x14ac:dyDescent="0.3">
      <c r="A58" s="13"/>
      <c r="B58" s="14" t="s">
        <v>110</v>
      </c>
      <c r="C58" s="15"/>
      <c r="D58" s="15"/>
      <c r="E58" s="15"/>
      <c r="F58" s="15"/>
      <c r="G58" s="15"/>
      <c r="H58" s="15"/>
      <c r="I58" s="15"/>
      <c r="J58" s="15"/>
      <c r="K58" s="15"/>
      <c r="L58" s="16"/>
      <c r="M58" s="17"/>
      <c r="N58" s="39">
        <v>1</v>
      </c>
      <c r="O58" s="42">
        <v>2000</v>
      </c>
      <c r="P58" s="48" t="s">
        <v>113</v>
      </c>
      <c r="Q58" s="47" t="s">
        <v>112</v>
      </c>
      <c r="R58" s="15"/>
      <c r="S58" s="15"/>
    </row>
    <row r="59" spans="1:19" s="3" customFormat="1" ht="29.25" customHeight="1" thickTop="1" thickBot="1" x14ac:dyDescent="0.3">
      <c r="A59" s="13"/>
      <c r="B59" s="14" t="s">
        <v>111</v>
      </c>
      <c r="C59" s="15"/>
      <c r="D59" s="15"/>
      <c r="E59" s="15"/>
      <c r="F59" s="15"/>
      <c r="G59" s="15"/>
      <c r="H59" s="15"/>
      <c r="I59" s="15"/>
      <c r="J59" s="15"/>
      <c r="K59" s="15"/>
      <c r="L59" s="16"/>
      <c r="M59" s="17"/>
      <c r="N59" s="39">
        <v>1</v>
      </c>
      <c r="O59" s="42"/>
      <c r="P59" s="48" t="s">
        <v>113</v>
      </c>
      <c r="Q59" s="47" t="s">
        <v>112</v>
      </c>
      <c r="R59" s="15"/>
      <c r="S59" s="15"/>
    </row>
    <row r="60" spans="1:19" s="3" customFormat="1" ht="29.25" customHeight="1" thickTop="1" thickBot="1" x14ac:dyDescent="0.3">
      <c r="A60" s="13"/>
      <c r="B60" s="14" t="s">
        <v>129</v>
      </c>
      <c r="C60" s="15"/>
      <c r="D60" s="15"/>
      <c r="E60" s="15"/>
      <c r="F60" s="15"/>
      <c r="G60" s="15"/>
      <c r="H60" s="15"/>
      <c r="I60" s="15"/>
      <c r="J60" s="15"/>
      <c r="K60" s="15"/>
      <c r="L60" s="16"/>
      <c r="M60" s="17"/>
      <c r="N60" s="39">
        <v>1</v>
      </c>
      <c r="O60" s="42">
        <v>6000</v>
      </c>
      <c r="P60" s="48" t="s">
        <v>127</v>
      </c>
      <c r="Q60" s="47" t="s">
        <v>128</v>
      </c>
      <c r="R60" s="15"/>
      <c r="S60" s="15"/>
    </row>
    <row r="61" spans="1:19" s="3" customFormat="1" ht="29.25" customHeight="1" thickTop="1" thickBot="1" x14ac:dyDescent="0.3">
      <c r="A61" s="13"/>
      <c r="B61" s="14" t="s">
        <v>129</v>
      </c>
      <c r="C61" s="15"/>
      <c r="D61" s="15"/>
      <c r="E61" s="15"/>
      <c r="F61" s="15"/>
      <c r="G61" s="15"/>
      <c r="H61" s="15"/>
      <c r="I61" s="15"/>
      <c r="J61" s="15"/>
      <c r="K61" s="15"/>
      <c r="L61" s="16"/>
      <c r="M61" s="17"/>
      <c r="N61" s="39">
        <v>2</v>
      </c>
      <c r="O61" s="42">
        <v>3000</v>
      </c>
      <c r="P61" s="48" t="s">
        <v>127</v>
      </c>
      <c r="Q61" s="47" t="s">
        <v>128</v>
      </c>
      <c r="R61" s="15"/>
      <c r="S61" s="15"/>
    </row>
    <row r="62" spans="1:19" s="3" customFormat="1" ht="29.25" customHeight="1" thickTop="1" thickBot="1" x14ac:dyDescent="0.3">
      <c r="A62" s="13"/>
      <c r="B62" s="14" t="s">
        <v>129</v>
      </c>
      <c r="C62" s="15"/>
      <c r="D62" s="15"/>
      <c r="E62" s="15"/>
      <c r="F62" s="15"/>
      <c r="G62" s="15"/>
      <c r="H62" s="15"/>
      <c r="I62" s="15"/>
      <c r="J62" s="15"/>
      <c r="K62" s="15"/>
      <c r="L62" s="16"/>
      <c r="M62" s="17"/>
      <c r="N62" s="39">
        <v>2</v>
      </c>
      <c r="O62" s="42">
        <v>2500</v>
      </c>
      <c r="P62" s="48" t="s">
        <v>127</v>
      </c>
      <c r="Q62" s="47" t="s">
        <v>128</v>
      </c>
      <c r="R62" s="15"/>
      <c r="S62" s="15"/>
    </row>
    <row r="63" spans="1:19" s="3" customFormat="1" ht="29.25" customHeight="1" thickTop="1" thickBot="1" x14ac:dyDescent="0.3">
      <c r="A63" s="13"/>
      <c r="B63" s="14" t="s">
        <v>129</v>
      </c>
      <c r="C63" s="15"/>
      <c r="D63" s="15"/>
      <c r="E63" s="15"/>
      <c r="F63" s="15"/>
      <c r="G63" s="15"/>
      <c r="H63" s="15"/>
      <c r="I63" s="15"/>
      <c r="J63" s="15"/>
      <c r="K63" s="15"/>
      <c r="L63" s="16"/>
      <c r="M63" s="17"/>
      <c r="N63" s="39">
        <v>3</v>
      </c>
      <c r="O63" s="42">
        <v>1000</v>
      </c>
      <c r="P63" s="48" t="s">
        <v>127</v>
      </c>
      <c r="Q63" s="47" t="s">
        <v>128</v>
      </c>
      <c r="R63" s="15"/>
      <c r="S63" s="15"/>
    </row>
    <row r="64" spans="1:19" s="3" customFormat="1" ht="29.25" customHeight="1" thickTop="1" thickBot="1" x14ac:dyDescent="0.3">
      <c r="A64" s="13"/>
      <c r="B64" s="14" t="s">
        <v>130</v>
      </c>
      <c r="C64" s="15"/>
      <c r="D64" s="15"/>
      <c r="E64" s="15"/>
      <c r="F64" s="15"/>
      <c r="G64" s="15"/>
      <c r="H64" s="15"/>
      <c r="I64" s="15"/>
      <c r="J64" s="15"/>
      <c r="K64" s="15"/>
      <c r="L64" s="16"/>
      <c r="M64" s="17"/>
      <c r="N64" s="39">
        <v>2</v>
      </c>
      <c r="O64" s="42">
        <v>1500</v>
      </c>
      <c r="P64" s="48" t="s">
        <v>127</v>
      </c>
      <c r="Q64" s="47" t="s">
        <v>128</v>
      </c>
      <c r="R64" s="15"/>
      <c r="S64" s="15"/>
    </row>
    <row r="65" spans="1:19" s="3" customFormat="1" ht="29.25" customHeight="1" thickTop="1" thickBot="1" x14ac:dyDescent="0.3">
      <c r="A65" s="13"/>
      <c r="B65" s="14" t="s">
        <v>131</v>
      </c>
      <c r="C65" s="15"/>
      <c r="D65" s="15"/>
      <c r="E65" s="15"/>
      <c r="F65" s="15"/>
      <c r="G65" s="15"/>
      <c r="H65" s="15"/>
      <c r="I65" s="15"/>
      <c r="J65" s="15"/>
      <c r="K65" s="15"/>
      <c r="L65" s="16"/>
      <c r="M65" s="17"/>
      <c r="N65" s="39">
        <v>2</v>
      </c>
      <c r="O65" s="42">
        <v>2000</v>
      </c>
      <c r="P65" s="48" t="s">
        <v>127</v>
      </c>
      <c r="Q65" s="47" t="s">
        <v>128</v>
      </c>
      <c r="R65" s="15"/>
      <c r="S65" s="15"/>
    </row>
    <row r="66" spans="1:19" s="3" customFormat="1" ht="29.25" customHeight="1" thickTop="1" thickBot="1" x14ac:dyDescent="0.3">
      <c r="A66" s="13"/>
      <c r="B66" s="14" t="s">
        <v>131</v>
      </c>
      <c r="C66" s="15"/>
      <c r="D66" s="15"/>
      <c r="E66" s="15"/>
      <c r="F66" s="15"/>
      <c r="G66" s="15"/>
      <c r="H66" s="15"/>
      <c r="I66" s="15"/>
      <c r="J66" s="15"/>
      <c r="K66" s="15"/>
      <c r="L66" s="16"/>
      <c r="M66" s="17"/>
      <c r="N66" s="39">
        <v>2</v>
      </c>
      <c r="O66" s="42">
        <v>1000</v>
      </c>
      <c r="P66" s="48" t="s">
        <v>127</v>
      </c>
      <c r="Q66" s="47" t="s">
        <v>128</v>
      </c>
      <c r="R66" s="15"/>
      <c r="S66" s="15"/>
    </row>
    <row r="67" spans="1:19" s="3" customFormat="1" ht="29.25" customHeight="1" thickTop="1" thickBot="1" x14ac:dyDescent="0.3">
      <c r="A67" s="13"/>
      <c r="B67" s="14" t="s">
        <v>132</v>
      </c>
      <c r="C67" s="15"/>
      <c r="D67" s="15"/>
      <c r="E67" s="15"/>
      <c r="F67" s="15"/>
      <c r="G67" s="15"/>
      <c r="H67" s="15"/>
      <c r="I67" s="15"/>
      <c r="J67" s="15"/>
      <c r="K67" s="15"/>
      <c r="L67" s="16"/>
      <c r="M67" s="17"/>
      <c r="N67" s="39">
        <v>2</v>
      </c>
      <c r="O67" s="42">
        <v>3500</v>
      </c>
      <c r="P67" s="48" t="s">
        <v>127</v>
      </c>
      <c r="Q67" s="47" t="s">
        <v>128</v>
      </c>
      <c r="R67" s="15"/>
      <c r="S67" s="15"/>
    </row>
    <row r="68" spans="1:19" s="3" customFormat="1" ht="29.25" customHeight="1" thickTop="1" thickBot="1" x14ac:dyDescent="0.3">
      <c r="A68" s="13"/>
      <c r="B68" s="14" t="s">
        <v>133</v>
      </c>
      <c r="C68" s="15"/>
      <c r="D68" s="15"/>
      <c r="E68" s="15"/>
      <c r="F68" s="15"/>
      <c r="G68" s="15"/>
      <c r="H68" s="15"/>
      <c r="I68" s="15"/>
      <c r="J68" s="15"/>
      <c r="K68" s="15"/>
      <c r="L68" s="16"/>
      <c r="M68" s="17"/>
      <c r="N68" s="39">
        <v>1</v>
      </c>
      <c r="O68" s="42">
        <v>3500</v>
      </c>
      <c r="P68" s="48" t="s">
        <v>127</v>
      </c>
      <c r="Q68" s="47" t="s">
        <v>128</v>
      </c>
      <c r="R68" s="15"/>
      <c r="S68" s="15"/>
    </row>
    <row r="69" spans="1:19" s="3" customFormat="1" ht="29.25" customHeight="1" thickTop="1" thickBot="1" x14ac:dyDescent="0.3">
      <c r="A69" s="13"/>
      <c r="B69" s="14" t="s">
        <v>133</v>
      </c>
      <c r="C69" s="15"/>
      <c r="D69" s="15"/>
      <c r="E69" s="15"/>
      <c r="F69" s="15"/>
      <c r="G69" s="15"/>
      <c r="H69" s="15"/>
      <c r="I69" s="15"/>
      <c r="J69" s="15"/>
      <c r="K69" s="15"/>
      <c r="L69" s="16"/>
      <c r="M69" s="17"/>
      <c r="N69" s="39">
        <v>1</v>
      </c>
      <c r="O69" s="42">
        <v>1500</v>
      </c>
      <c r="P69" s="48" t="s">
        <v>127</v>
      </c>
      <c r="Q69" s="47" t="s">
        <v>128</v>
      </c>
      <c r="R69" s="15"/>
      <c r="S69" s="15"/>
    </row>
    <row r="70" spans="1:19" s="3" customFormat="1" ht="29.25" customHeight="1" thickTop="1" thickBot="1" x14ac:dyDescent="0.3">
      <c r="A70" s="13"/>
      <c r="B70" s="14" t="s">
        <v>133</v>
      </c>
      <c r="C70" s="15"/>
      <c r="D70" s="15"/>
      <c r="E70" s="15"/>
      <c r="F70" s="15"/>
      <c r="G70" s="15"/>
      <c r="H70" s="15"/>
      <c r="I70" s="15"/>
      <c r="J70" s="15"/>
      <c r="K70" s="15"/>
      <c r="L70" s="16"/>
      <c r="M70" s="17"/>
      <c r="N70" s="39">
        <v>1</v>
      </c>
      <c r="O70" s="42">
        <v>1000</v>
      </c>
      <c r="P70" s="48" t="s">
        <v>127</v>
      </c>
      <c r="Q70" s="47" t="s">
        <v>128</v>
      </c>
      <c r="R70" s="15"/>
      <c r="S70" s="15"/>
    </row>
    <row r="71" spans="1:19" s="3" customFormat="1" ht="29.25" customHeight="1" thickTop="1" thickBot="1" x14ac:dyDescent="0.3">
      <c r="A71" s="13"/>
      <c r="B71" s="14" t="s">
        <v>86</v>
      </c>
      <c r="C71" s="15"/>
      <c r="D71" s="15"/>
      <c r="E71" s="15"/>
      <c r="F71" s="15"/>
      <c r="G71" s="15"/>
      <c r="H71" s="15"/>
      <c r="I71" s="15"/>
      <c r="J71" s="15"/>
      <c r="K71" s="15"/>
      <c r="L71" s="16"/>
      <c r="M71" s="17"/>
      <c r="N71" s="39">
        <v>4</v>
      </c>
      <c r="O71" s="42">
        <v>500</v>
      </c>
      <c r="P71" s="48" t="s">
        <v>127</v>
      </c>
      <c r="Q71" s="47" t="s">
        <v>128</v>
      </c>
      <c r="R71" s="15"/>
      <c r="S71" s="15"/>
    </row>
    <row r="72" spans="1:19" s="3" customFormat="1" ht="29.25" customHeight="1" thickTop="1" thickBot="1" x14ac:dyDescent="0.3">
      <c r="A72" s="13"/>
      <c r="B72" s="14" t="s">
        <v>86</v>
      </c>
      <c r="C72" s="15"/>
      <c r="D72" s="15"/>
      <c r="E72" s="15"/>
      <c r="F72" s="15"/>
      <c r="G72" s="15"/>
      <c r="H72" s="15"/>
      <c r="I72" s="15"/>
      <c r="J72" s="15"/>
      <c r="K72" s="15"/>
      <c r="L72" s="16"/>
      <c r="M72" s="17"/>
      <c r="N72" s="39">
        <v>3</v>
      </c>
      <c r="O72" s="42">
        <v>1000</v>
      </c>
      <c r="P72" s="48" t="s">
        <v>127</v>
      </c>
      <c r="Q72" s="47" t="s">
        <v>128</v>
      </c>
      <c r="R72" s="15"/>
      <c r="S72" s="15"/>
    </row>
    <row r="73" spans="1:19" s="3" customFormat="1" ht="29.25" customHeight="1" thickTop="1" thickBot="1" x14ac:dyDescent="0.3">
      <c r="A73" s="13"/>
      <c r="B73" s="14" t="s">
        <v>134</v>
      </c>
      <c r="C73" s="15"/>
      <c r="D73" s="15"/>
      <c r="E73" s="15"/>
      <c r="F73" s="15"/>
      <c r="G73" s="15"/>
      <c r="H73" s="15"/>
      <c r="I73" s="15"/>
      <c r="J73" s="15"/>
      <c r="K73" s="15"/>
      <c r="L73" s="16"/>
      <c r="M73" s="17"/>
      <c r="N73" s="39">
        <v>2</v>
      </c>
      <c r="O73" s="42">
        <v>2000</v>
      </c>
      <c r="P73" s="48" t="s">
        <v>127</v>
      </c>
      <c r="Q73" s="47" t="s">
        <v>128</v>
      </c>
      <c r="R73" s="15"/>
      <c r="S73" s="15"/>
    </row>
    <row r="74" spans="1:19" s="3" customFormat="1" ht="29.25" customHeight="1" thickTop="1" thickBot="1" x14ac:dyDescent="0.3">
      <c r="A74" s="13"/>
      <c r="B74" s="14" t="s">
        <v>135</v>
      </c>
      <c r="C74" s="15"/>
      <c r="D74" s="15"/>
      <c r="E74" s="15"/>
      <c r="F74" s="15"/>
      <c r="G74" s="15"/>
      <c r="H74" s="15"/>
      <c r="I74" s="15"/>
      <c r="J74" s="15"/>
      <c r="K74" s="15"/>
      <c r="L74" s="16"/>
      <c r="M74" s="17"/>
      <c r="N74" s="39">
        <v>1</v>
      </c>
      <c r="O74" s="42">
        <v>2000</v>
      </c>
      <c r="P74" s="48" t="s">
        <v>127</v>
      </c>
      <c r="Q74" s="47" t="s">
        <v>128</v>
      </c>
      <c r="R74" s="15"/>
      <c r="S74" s="15"/>
    </row>
    <row r="75" spans="1:19" s="3" customFormat="1" ht="29.25" customHeight="1" thickTop="1" thickBot="1" x14ac:dyDescent="0.3">
      <c r="A75" s="13"/>
      <c r="B75" s="14" t="s">
        <v>135</v>
      </c>
      <c r="C75" s="15"/>
      <c r="D75" s="15"/>
      <c r="E75" s="15"/>
      <c r="F75" s="15"/>
      <c r="G75" s="15"/>
      <c r="H75" s="15"/>
      <c r="I75" s="15"/>
      <c r="J75" s="15"/>
      <c r="K75" s="15"/>
      <c r="L75" s="16"/>
      <c r="M75" s="17"/>
      <c r="N75" s="39">
        <v>1</v>
      </c>
      <c r="O75" s="42">
        <v>1000</v>
      </c>
      <c r="P75" s="48" t="s">
        <v>127</v>
      </c>
      <c r="Q75" s="47" t="s">
        <v>128</v>
      </c>
      <c r="R75" s="15"/>
      <c r="S75" s="15"/>
    </row>
    <row r="76" spans="1:19" s="3" customFormat="1" ht="29.25" customHeight="1" thickTop="1" thickBot="1" x14ac:dyDescent="0.3">
      <c r="A76" s="13"/>
      <c r="B76" s="14" t="s">
        <v>136</v>
      </c>
      <c r="C76" s="15"/>
      <c r="D76" s="15"/>
      <c r="E76" s="15"/>
      <c r="F76" s="15"/>
      <c r="G76" s="15"/>
      <c r="H76" s="15"/>
      <c r="I76" s="15"/>
      <c r="J76" s="15"/>
      <c r="K76" s="15"/>
      <c r="L76" s="16"/>
      <c r="M76" s="17"/>
      <c r="N76" s="39">
        <v>1</v>
      </c>
      <c r="O76" s="42">
        <v>3000</v>
      </c>
      <c r="P76" s="48" t="s">
        <v>127</v>
      </c>
      <c r="Q76" s="47" t="s">
        <v>128</v>
      </c>
      <c r="R76" s="15"/>
      <c r="S76" s="15"/>
    </row>
    <row r="77" spans="1:19" s="3" customFormat="1" ht="29.25" customHeight="1" thickTop="1" thickBot="1" x14ac:dyDescent="0.3">
      <c r="A77" s="13"/>
      <c r="B77" s="14" t="s">
        <v>137</v>
      </c>
      <c r="C77" s="15"/>
      <c r="D77" s="15"/>
      <c r="E77" s="15"/>
      <c r="F77" s="15"/>
      <c r="G77" s="15"/>
      <c r="H77" s="15"/>
      <c r="I77" s="15"/>
      <c r="J77" s="15"/>
      <c r="K77" s="15"/>
      <c r="L77" s="16"/>
      <c r="M77" s="17"/>
      <c r="N77" s="39">
        <v>1</v>
      </c>
      <c r="O77" s="42">
        <v>5000</v>
      </c>
      <c r="P77" s="48" t="s">
        <v>127</v>
      </c>
      <c r="Q77" s="47" t="s">
        <v>128</v>
      </c>
      <c r="R77" s="15"/>
      <c r="S77" s="15"/>
    </row>
    <row r="78" spans="1:19" s="3" customFormat="1" ht="29.25" customHeight="1" thickTop="1" thickBot="1" x14ac:dyDescent="0.3">
      <c r="A78" s="13"/>
      <c r="B78" s="14" t="s">
        <v>137</v>
      </c>
      <c r="C78" s="15"/>
      <c r="D78" s="15"/>
      <c r="E78" s="15"/>
      <c r="F78" s="15"/>
      <c r="G78" s="15"/>
      <c r="H78" s="15"/>
      <c r="I78" s="15"/>
      <c r="J78" s="15"/>
      <c r="K78" s="15"/>
      <c r="L78" s="16"/>
      <c r="M78" s="17"/>
      <c r="N78" s="39">
        <v>1</v>
      </c>
      <c r="O78" s="42">
        <v>1000</v>
      </c>
      <c r="P78" s="48" t="s">
        <v>127</v>
      </c>
      <c r="Q78" s="47" t="s">
        <v>128</v>
      </c>
      <c r="R78" s="15"/>
      <c r="S78" s="15"/>
    </row>
    <row r="79" spans="1:19" s="3" customFormat="1" ht="29.25" customHeight="1" thickTop="1" thickBot="1" x14ac:dyDescent="0.3">
      <c r="A79" s="13"/>
      <c r="B79" s="14" t="s">
        <v>138</v>
      </c>
      <c r="C79" s="15"/>
      <c r="D79" s="15"/>
      <c r="E79" s="15"/>
      <c r="F79" s="15"/>
      <c r="G79" s="15"/>
      <c r="H79" s="15"/>
      <c r="I79" s="15"/>
      <c r="J79" s="15"/>
      <c r="K79" s="15"/>
      <c r="L79" s="16"/>
      <c r="M79" s="17"/>
      <c r="N79" s="39">
        <v>1</v>
      </c>
      <c r="O79" s="42">
        <v>1000</v>
      </c>
      <c r="P79" s="48" t="s">
        <v>127</v>
      </c>
      <c r="Q79" s="47" t="s">
        <v>128</v>
      </c>
      <c r="R79" s="15"/>
      <c r="S79" s="15"/>
    </row>
    <row r="80" spans="1:19" s="3" customFormat="1" ht="29.25" customHeight="1" thickTop="1" thickBot="1" x14ac:dyDescent="0.3">
      <c r="A80" s="13"/>
      <c r="B80" s="14" t="s">
        <v>139</v>
      </c>
      <c r="C80" s="15"/>
      <c r="D80" s="15"/>
      <c r="E80" s="15"/>
      <c r="F80" s="15"/>
      <c r="G80" s="15"/>
      <c r="H80" s="15"/>
      <c r="I80" s="15"/>
      <c r="J80" s="15"/>
      <c r="K80" s="15"/>
      <c r="L80" s="16"/>
      <c r="M80" s="17"/>
      <c r="N80" s="39">
        <v>1</v>
      </c>
      <c r="O80" s="42">
        <v>1000</v>
      </c>
      <c r="P80" s="48" t="s">
        <v>127</v>
      </c>
      <c r="Q80" s="47" t="s">
        <v>128</v>
      </c>
      <c r="R80" s="15"/>
      <c r="S80" s="15"/>
    </row>
    <row r="81" spans="1:19" s="3" customFormat="1" ht="29.25" customHeight="1" thickTop="1" thickBot="1" x14ac:dyDescent="0.3">
      <c r="A81" s="13"/>
      <c r="B81" s="14" t="s">
        <v>139</v>
      </c>
      <c r="C81" s="15"/>
      <c r="D81" s="15"/>
      <c r="E81" s="15"/>
      <c r="F81" s="15"/>
      <c r="G81" s="15"/>
      <c r="H81" s="15"/>
      <c r="I81" s="15"/>
      <c r="J81" s="15"/>
      <c r="K81" s="15"/>
      <c r="L81" s="16"/>
      <c r="M81" s="17"/>
      <c r="N81" s="39">
        <v>1</v>
      </c>
      <c r="O81" s="42">
        <v>3500</v>
      </c>
      <c r="P81" s="48" t="s">
        <v>127</v>
      </c>
      <c r="Q81" s="47" t="s">
        <v>128</v>
      </c>
      <c r="R81" s="15"/>
      <c r="S81" s="15"/>
    </row>
    <row r="82" spans="1:19" s="3" customFormat="1" ht="29.25" customHeight="1" thickTop="1" thickBot="1" x14ac:dyDescent="0.3">
      <c r="A82" s="13"/>
      <c r="B82" s="14" t="s">
        <v>140</v>
      </c>
      <c r="C82" s="15"/>
      <c r="D82" s="15"/>
      <c r="E82" s="15"/>
      <c r="F82" s="15"/>
      <c r="G82" s="15"/>
      <c r="H82" s="15"/>
      <c r="I82" s="15"/>
      <c r="J82" s="15"/>
      <c r="K82" s="15"/>
      <c r="L82" s="16"/>
      <c r="M82" s="17"/>
      <c r="N82" s="39">
        <v>1</v>
      </c>
      <c r="O82" s="42">
        <v>1500</v>
      </c>
      <c r="P82" s="48" t="s">
        <v>127</v>
      </c>
      <c r="Q82" s="47" t="s">
        <v>128</v>
      </c>
      <c r="R82" s="15"/>
      <c r="S82" s="15"/>
    </row>
    <row r="83" spans="1:19" s="3" customFormat="1" ht="29.25" customHeight="1" thickTop="1" thickBot="1" x14ac:dyDescent="0.3">
      <c r="A83" s="13"/>
      <c r="B83" s="14" t="s">
        <v>141</v>
      </c>
      <c r="C83" s="15"/>
      <c r="D83" s="15"/>
      <c r="E83" s="15"/>
      <c r="F83" s="15"/>
      <c r="G83" s="15"/>
      <c r="H83" s="15"/>
      <c r="I83" s="15"/>
      <c r="J83" s="15"/>
      <c r="K83" s="15"/>
      <c r="L83" s="16"/>
      <c r="M83" s="17"/>
      <c r="N83" s="39">
        <v>2</v>
      </c>
      <c r="O83" s="42">
        <v>2500</v>
      </c>
      <c r="P83" s="48" t="s">
        <v>127</v>
      </c>
      <c r="Q83" s="47" t="s">
        <v>128</v>
      </c>
      <c r="R83" s="15"/>
      <c r="S83" s="15"/>
    </row>
    <row r="84" spans="1:19" s="3" customFormat="1" ht="29.25" customHeight="1" thickTop="1" thickBot="1" x14ac:dyDescent="0.3">
      <c r="A84" s="13"/>
      <c r="B84" s="14" t="s">
        <v>141</v>
      </c>
      <c r="C84" s="15"/>
      <c r="D84" s="15"/>
      <c r="E84" s="15"/>
      <c r="F84" s="15"/>
      <c r="G84" s="15"/>
      <c r="H84" s="15"/>
      <c r="I84" s="15"/>
      <c r="J84" s="15"/>
      <c r="K84" s="15"/>
      <c r="L84" s="16"/>
      <c r="M84" s="17"/>
      <c r="N84" s="39">
        <v>1</v>
      </c>
      <c r="O84" s="42">
        <v>1500</v>
      </c>
      <c r="P84" s="48" t="s">
        <v>127</v>
      </c>
      <c r="Q84" s="47" t="s">
        <v>128</v>
      </c>
      <c r="R84" s="15"/>
      <c r="S84" s="15"/>
    </row>
    <row r="85" spans="1:19" s="3" customFormat="1" ht="29.25" customHeight="1" thickTop="1" thickBot="1" x14ac:dyDescent="0.3">
      <c r="A85" s="13"/>
      <c r="B85" s="14" t="s">
        <v>142</v>
      </c>
      <c r="C85" s="15"/>
      <c r="D85" s="15"/>
      <c r="E85" s="15"/>
      <c r="F85" s="15"/>
      <c r="G85" s="15"/>
      <c r="H85" s="15"/>
      <c r="I85" s="15"/>
      <c r="J85" s="15"/>
      <c r="K85" s="15"/>
      <c r="L85" s="16"/>
      <c r="M85" s="17"/>
      <c r="N85" s="39">
        <v>1</v>
      </c>
      <c r="O85" s="42">
        <v>3000</v>
      </c>
      <c r="P85" s="48" t="s">
        <v>127</v>
      </c>
      <c r="Q85" s="47" t="s">
        <v>128</v>
      </c>
      <c r="R85" s="15"/>
      <c r="S85" s="15"/>
    </row>
    <row r="86" spans="1:19" s="3" customFormat="1" ht="29.25" customHeight="1" thickTop="1" thickBot="1" x14ac:dyDescent="0.3">
      <c r="A86" s="13"/>
      <c r="B86" s="14" t="s">
        <v>143</v>
      </c>
      <c r="C86" s="15"/>
      <c r="D86" s="15"/>
      <c r="E86" s="15"/>
      <c r="F86" s="15"/>
      <c r="G86" s="15"/>
      <c r="H86" s="15"/>
      <c r="I86" s="15"/>
      <c r="J86" s="15"/>
      <c r="K86" s="15"/>
      <c r="L86" s="16"/>
      <c r="M86" s="17"/>
      <c r="N86" s="39">
        <v>1</v>
      </c>
      <c r="O86" s="42">
        <v>2000</v>
      </c>
      <c r="P86" s="48" t="s">
        <v>127</v>
      </c>
      <c r="Q86" s="47" t="s">
        <v>128</v>
      </c>
      <c r="R86" s="15"/>
      <c r="S86" s="15"/>
    </row>
    <row r="87" spans="1:19" s="3" customFormat="1" ht="29.25" customHeight="1" thickTop="1" thickBot="1" x14ac:dyDescent="0.3">
      <c r="A87" s="13"/>
      <c r="B87" s="14" t="s">
        <v>146</v>
      </c>
      <c r="C87" s="15"/>
      <c r="D87" s="15"/>
      <c r="E87" s="15"/>
      <c r="F87" s="15"/>
      <c r="G87" s="15"/>
      <c r="H87" s="15"/>
      <c r="I87" s="15"/>
      <c r="J87" s="15"/>
      <c r="K87" s="15"/>
      <c r="L87" s="16"/>
      <c r="M87" s="17"/>
      <c r="N87" s="39">
        <v>20</v>
      </c>
      <c r="O87" s="42">
        <v>3500</v>
      </c>
      <c r="P87" s="48" t="s">
        <v>144</v>
      </c>
      <c r="Q87" s="47" t="s">
        <v>145</v>
      </c>
      <c r="R87" s="15"/>
      <c r="S87" s="15"/>
    </row>
    <row r="88" spans="1:19" s="3" customFormat="1" ht="29.25" customHeight="1" thickTop="1" thickBot="1" x14ac:dyDescent="0.3">
      <c r="A88" s="13"/>
      <c r="B88" s="14" t="s">
        <v>147</v>
      </c>
      <c r="C88" s="15"/>
      <c r="D88" s="15"/>
      <c r="E88" s="15"/>
      <c r="F88" s="15"/>
      <c r="G88" s="15"/>
      <c r="H88" s="15"/>
      <c r="I88" s="15"/>
      <c r="J88" s="15"/>
      <c r="K88" s="15"/>
      <c r="L88" s="16"/>
      <c r="M88" s="17"/>
      <c r="N88" s="39">
        <v>11</v>
      </c>
      <c r="O88" s="42">
        <v>5500</v>
      </c>
      <c r="P88" s="48" t="s">
        <v>144</v>
      </c>
      <c r="Q88" s="47" t="s">
        <v>145</v>
      </c>
      <c r="R88" s="15"/>
      <c r="S88" s="15"/>
    </row>
    <row r="89" spans="1:19" s="3" customFormat="1" ht="29.25" customHeight="1" thickTop="1" thickBot="1" x14ac:dyDescent="0.3">
      <c r="A89" s="13"/>
      <c r="B89" s="14" t="s">
        <v>148</v>
      </c>
      <c r="C89" s="15"/>
      <c r="D89" s="15"/>
      <c r="E89" s="15"/>
      <c r="F89" s="15"/>
      <c r="G89" s="15"/>
      <c r="H89" s="15"/>
      <c r="I89" s="15"/>
      <c r="J89" s="15"/>
      <c r="K89" s="15"/>
      <c r="L89" s="16"/>
      <c r="M89" s="17"/>
      <c r="N89" s="39">
        <v>12</v>
      </c>
      <c r="O89" s="42">
        <v>3500</v>
      </c>
      <c r="P89" s="48" t="s">
        <v>144</v>
      </c>
      <c r="Q89" s="47" t="s">
        <v>145</v>
      </c>
      <c r="R89" s="15"/>
      <c r="S89" s="15"/>
    </row>
    <row r="90" spans="1:19" s="3" customFormat="1" ht="29.25" customHeight="1" thickTop="1" thickBot="1" x14ac:dyDescent="0.3">
      <c r="A90" s="13"/>
      <c r="B90" s="14" t="s">
        <v>149</v>
      </c>
      <c r="C90" s="15"/>
      <c r="D90" s="15"/>
      <c r="E90" s="15"/>
      <c r="F90" s="15"/>
      <c r="G90" s="15"/>
      <c r="H90" s="15"/>
      <c r="I90" s="15"/>
      <c r="J90" s="15"/>
      <c r="K90" s="15"/>
      <c r="L90" s="16"/>
      <c r="M90" s="17"/>
      <c r="N90" s="39">
        <v>17</v>
      </c>
      <c r="O90" s="42">
        <v>5500</v>
      </c>
      <c r="P90" s="48" t="s">
        <v>144</v>
      </c>
      <c r="Q90" s="47" t="s">
        <v>145</v>
      </c>
      <c r="R90" s="15"/>
      <c r="S90" s="15"/>
    </row>
    <row r="91" spans="1:19" s="3" customFormat="1" ht="29.25" customHeight="1" thickTop="1" thickBot="1" x14ac:dyDescent="0.3">
      <c r="A91" s="13"/>
      <c r="B91" s="14" t="s">
        <v>150</v>
      </c>
      <c r="C91" s="15"/>
      <c r="D91" s="15"/>
      <c r="E91" s="15"/>
      <c r="F91" s="15"/>
      <c r="G91" s="15"/>
      <c r="H91" s="15"/>
      <c r="I91" s="15"/>
      <c r="J91" s="15"/>
      <c r="K91" s="15"/>
      <c r="L91" s="16"/>
      <c r="M91" s="17"/>
      <c r="N91" s="39">
        <v>1</v>
      </c>
      <c r="O91" s="42">
        <v>2000</v>
      </c>
      <c r="P91" s="48" t="s">
        <v>144</v>
      </c>
      <c r="Q91" s="47" t="s">
        <v>145</v>
      </c>
      <c r="R91" s="15"/>
      <c r="S91" s="15"/>
    </row>
    <row r="92" spans="1:19" s="3" customFormat="1" ht="29.25" customHeight="1" thickTop="1" thickBot="1" x14ac:dyDescent="0.3">
      <c r="A92" s="13"/>
      <c r="B92" s="14" t="s">
        <v>151</v>
      </c>
      <c r="C92" s="15"/>
      <c r="D92" s="15"/>
      <c r="E92" s="15"/>
      <c r="F92" s="15"/>
      <c r="G92" s="15"/>
      <c r="H92" s="15"/>
      <c r="I92" s="15"/>
      <c r="J92" s="15"/>
      <c r="K92" s="15"/>
      <c r="L92" s="16"/>
      <c r="M92" s="17"/>
      <c r="N92" s="39">
        <v>1</v>
      </c>
      <c r="O92" s="42">
        <v>3000</v>
      </c>
      <c r="P92" s="48" t="s">
        <v>144</v>
      </c>
      <c r="Q92" s="47" t="s">
        <v>145</v>
      </c>
      <c r="R92" s="15"/>
      <c r="S92" s="15"/>
    </row>
    <row r="93" spans="1:19" s="3" customFormat="1" ht="29.25" customHeight="1" thickTop="1" thickBot="1" x14ac:dyDescent="0.3">
      <c r="A93" s="13"/>
      <c r="B93" s="14" t="s">
        <v>151</v>
      </c>
      <c r="C93" s="15"/>
      <c r="D93" s="15"/>
      <c r="E93" s="15"/>
      <c r="F93" s="15"/>
      <c r="G93" s="15"/>
      <c r="H93" s="15"/>
      <c r="I93" s="15"/>
      <c r="J93" s="15"/>
      <c r="K93" s="15"/>
      <c r="L93" s="16"/>
      <c r="M93" s="17"/>
      <c r="N93" s="39">
        <v>1</v>
      </c>
      <c r="O93" s="42">
        <v>2000</v>
      </c>
      <c r="P93" s="48" t="s">
        <v>144</v>
      </c>
      <c r="Q93" s="47" t="s">
        <v>145</v>
      </c>
      <c r="R93" s="15"/>
      <c r="S93" s="15"/>
    </row>
    <row r="94" spans="1:19" s="3" customFormat="1" ht="29.25" customHeight="1" thickTop="1" thickBot="1" x14ac:dyDescent="0.3">
      <c r="A94" s="13"/>
      <c r="B94" s="14" t="s">
        <v>153</v>
      </c>
      <c r="C94" s="15"/>
      <c r="D94" s="15"/>
      <c r="E94" s="15"/>
      <c r="F94" s="15"/>
      <c r="G94" s="15"/>
      <c r="H94" s="15"/>
      <c r="I94" s="15"/>
      <c r="J94" s="15"/>
      <c r="K94" s="15"/>
      <c r="L94" s="16"/>
      <c r="M94" s="17"/>
      <c r="N94" s="39">
        <v>1</v>
      </c>
      <c r="O94" s="42"/>
      <c r="P94" s="48" t="s">
        <v>144</v>
      </c>
      <c r="Q94" s="47" t="s">
        <v>145</v>
      </c>
      <c r="R94" s="15"/>
      <c r="S94" s="15"/>
    </row>
    <row r="95" spans="1:19" s="3" customFormat="1" ht="29.25" customHeight="1" thickTop="1" thickBot="1" x14ac:dyDescent="0.3">
      <c r="A95" s="13"/>
      <c r="B95" s="14" t="s">
        <v>152</v>
      </c>
      <c r="C95" s="15"/>
      <c r="D95" s="15"/>
      <c r="E95" s="15"/>
      <c r="F95" s="15"/>
      <c r="G95" s="15"/>
      <c r="H95" s="15"/>
      <c r="I95" s="15"/>
      <c r="J95" s="15"/>
      <c r="K95" s="15"/>
      <c r="L95" s="16"/>
      <c r="M95" s="17"/>
      <c r="N95" s="39">
        <v>10</v>
      </c>
      <c r="O95" s="42">
        <v>500</v>
      </c>
      <c r="P95" s="48" t="s">
        <v>144</v>
      </c>
      <c r="Q95" s="47" t="s">
        <v>145</v>
      </c>
      <c r="R95" s="15"/>
      <c r="S95" s="15"/>
    </row>
    <row r="96" spans="1:19" s="3" customFormat="1" ht="29.25" customHeight="1" thickTop="1" thickBot="1" x14ac:dyDescent="0.3">
      <c r="A96" s="13"/>
      <c r="B96" s="14" t="s">
        <v>154</v>
      </c>
      <c r="C96" s="15"/>
      <c r="D96" s="15"/>
      <c r="E96" s="15"/>
      <c r="F96" s="15"/>
      <c r="G96" s="15"/>
      <c r="H96" s="15"/>
      <c r="I96" s="15"/>
      <c r="J96" s="15"/>
      <c r="K96" s="15"/>
      <c r="L96" s="16"/>
      <c r="M96" s="17"/>
      <c r="N96" s="39">
        <v>2</v>
      </c>
      <c r="O96" s="42">
        <v>2500</v>
      </c>
      <c r="P96" s="48" t="s">
        <v>155</v>
      </c>
      <c r="Q96" s="47" t="s">
        <v>156</v>
      </c>
      <c r="R96" s="15"/>
      <c r="S96" s="15"/>
    </row>
    <row r="97" spans="1:19" s="3" customFormat="1" ht="29.25" customHeight="1" thickTop="1" thickBot="1" x14ac:dyDescent="0.3">
      <c r="A97" s="13"/>
      <c r="B97" s="14" t="s">
        <v>82</v>
      </c>
      <c r="C97" s="15"/>
      <c r="D97" s="15"/>
      <c r="E97" s="15"/>
      <c r="F97" s="15"/>
      <c r="G97" s="15"/>
      <c r="H97" s="15"/>
      <c r="I97" s="15"/>
      <c r="J97" s="15"/>
      <c r="K97" s="15"/>
      <c r="L97" s="16"/>
      <c r="M97" s="17"/>
      <c r="N97" s="39">
        <v>14</v>
      </c>
      <c r="O97" s="42">
        <v>2000</v>
      </c>
      <c r="P97" s="48" t="s">
        <v>88</v>
      </c>
      <c r="Q97" s="47" t="s">
        <v>89</v>
      </c>
      <c r="R97" s="15"/>
      <c r="S97" s="15"/>
    </row>
    <row r="98" spans="1:19" s="3" customFormat="1" ht="29.25" customHeight="1" thickBot="1" x14ac:dyDescent="0.3">
      <c r="A98" s="13"/>
      <c r="B98" s="14" t="s">
        <v>83</v>
      </c>
      <c r="C98" s="15"/>
      <c r="D98" s="15"/>
      <c r="E98" s="15"/>
      <c r="F98" s="15"/>
      <c r="G98" s="15"/>
      <c r="H98" s="15"/>
      <c r="I98" s="15"/>
      <c r="J98" s="15"/>
      <c r="K98" s="15"/>
      <c r="L98" s="16"/>
      <c r="M98" s="17"/>
      <c r="N98" s="39">
        <f>2+6</f>
        <v>8</v>
      </c>
      <c r="O98" s="43">
        <v>2000</v>
      </c>
      <c r="P98" s="48" t="s">
        <v>88</v>
      </c>
      <c r="Q98" s="47" t="s">
        <v>89</v>
      </c>
      <c r="R98" s="15"/>
      <c r="S98" s="15"/>
    </row>
    <row r="99" spans="1:19" s="3" customFormat="1" ht="29.25" customHeight="1" thickTop="1" thickBot="1" x14ac:dyDescent="0.3">
      <c r="A99" s="13"/>
      <c r="B99" s="14" t="s">
        <v>84</v>
      </c>
      <c r="C99" s="15"/>
      <c r="D99" s="15"/>
      <c r="E99" s="15"/>
      <c r="F99" s="15"/>
      <c r="G99" s="15"/>
      <c r="H99" s="15"/>
      <c r="I99" s="15"/>
      <c r="J99" s="15"/>
      <c r="K99" s="15"/>
      <c r="L99" s="16"/>
      <c r="M99" s="17"/>
      <c r="N99" s="39">
        <v>2</v>
      </c>
      <c r="O99" s="42">
        <v>2000</v>
      </c>
      <c r="P99" s="48" t="s">
        <v>88</v>
      </c>
      <c r="Q99" s="47" t="s">
        <v>89</v>
      </c>
      <c r="R99" s="15"/>
      <c r="S99" s="15"/>
    </row>
    <row r="100" spans="1:19" s="3" customFormat="1" ht="29.25" customHeight="1" thickBot="1" x14ac:dyDescent="0.3">
      <c r="A100" s="13"/>
      <c r="B100" s="14" t="s">
        <v>85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6"/>
      <c r="M100" s="17"/>
      <c r="N100" s="39">
        <v>1</v>
      </c>
      <c r="O100" s="43">
        <v>2000</v>
      </c>
      <c r="P100" s="48" t="s">
        <v>88</v>
      </c>
      <c r="Q100" s="47" t="s">
        <v>89</v>
      </c>
      <c r="R100" s="15"/>
      <c r="S100" s="15"/>
    </row>
    <row r="101" spans="1:19" s="3" customFormat="1" ht="29.25" customHeight="1" thickTop="1" thickBot="1" x14ac:dyDescent="0.3">
      <c r="A101" s="13"/>
      <c r="B101" s="14" t="s">
        <v>86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6"/>
      <c r="M101" s="17"/>
      <c r="N101" s="39">
        <v>4</v>
      </c>
      <c r="O101" s="42">
        <v>2000</v>
      </c>
      <c r="P101" s="48" t="s">
        <v>88</v>
      </c>
      <c r="Q101" s="47" t="s">
        <v>89</v>
      </c>
      <c r="R101" s="15"/>
      <c r="S101" s="15"/>
    </row>
    <row r="102" spans="1:19" s="3" customFormat="1" ht="29.25" customHeight="1" thickBot="1" x14ac:dyDescent="0.3">
      <c r="A102" s="13"/>
      <c r="B102" s="14" t="s">
        <v>93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6"/>
      <c r="M102" s="17"/>
      <c r="N102" s="39">
        <f>1+1</f>
        <v>2</v>
      </c>
      <c r="O102" s="43">
        <v>1000</v>
      </c>
      <c r="P102" s="48" t="s">
        <v>88</v>
      </c>
      <c r="Q102" s="47" t="s">
        <v>89</v>
      </c>
      <c r="R102" s="15"/>
      <c r="S102" s="15"/>
    </row>
    <row r="103" spans="1:19" s="3" customFormat="1" ht="29.25" customHeight="1" thickTop="1" thickBot="1" x14ac:dyDescent="0.3">
      <c r="A103" s="13"/>
      <c r="B103" s="14" t="s">
        <v>87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6"/>
      <c r="M103" s="17"/>
      <c r="N103" s="39">
        <v>20</v>
      </c>
      <c r="O103" s="42">
        <v>2000</v>
      </c>
      <c r="P103" s="48" t="s">
        <v>88</v>
      </c>
      <c r="Q103" s="47" t="s">
        <v>89</v>
      </c>
      <c r="R103" s="15"/>
      <c r="S103" s="15"/>
    </row>
    <row r="104" spans="1:19" s="3" customFormat="1" ht="29.25" customHeight="1" thickBot="1" x14ac:dyDescent="0.3">
      <c r="A104" s="13"/>
      <c r="B104" s="14" t="s">
        <v>90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6"/>
      <c r="M104" s="17"/>
      <c r="N104" s="39">
        <v>3</v>
      </c>
      <c r="O104" s="43">
        <v>2000</v>
      </c>
      <c r="P104" s="48" t="s">
        <v>88</v>
      </c>
      <c r="Q104" s="47" t="s">
        <v>89</v>
      </c>
      <c r="R104" s="15"/>
      <c r="S104" s="15"/>
    </row>
    <row r="105" spans="1:19" s="3" customFormat="1" ht="29.25" customHeight="1" thickTop="1" thickBot="1" x14ac:dyDescent="0.3">
      <c r="A105" s="13"/>
      <c r="B105" s="14" t="s">
        <v>91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6"/>
      <c r="M105" s="17"/>
      <c r="N105" s="39">
        <v>1</v>
      </c>
      <c r="O105" s="42">
        <v>2000</v>
      </c>
      <c r="P105" s="48" t="s">
        <v>88</v>
      </c>
      <c r="Q105" s="47" t="s">
        <v>89</v>
      </c>
      <c r="R105" s="15"/>
      <c r="S105" s="15"/>
    </row>
    <row r="106" spans="1:19" s="3" customFormat="1" ht="29.25" customHeight="1" thickBot="1" x14ac:dyDescent="0.3">
      <c r="A106" s="13"/>
      <c r="B106" s="14" t="s">
        <v>92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6"/>
      <c r="M106" s="17"/>
      <c r="N106" s="39">
        <v>1</v>
      </c>
      <c r="O106" s="43">
        <v>2000</v>
      </c>
      <c r="P106" s="48" t="s">
        <v>88</v>
      </c>
      <c r="Q106" s="47" t="s">
        <v>89</v>
      </c>
      <c r="R106" s="15"/>
      <c r="S106" s="15"/>
    </row>
    <row r="107" spans="1:19" s="3" customFormat="1" ht="29.25" customHeight="1" thickTop="1" thickBot="1" x14ac:dyDescent="0.3">
      <c r="A107" s="13"/>
      <c r="B107" s="14" t="s">
        <v>94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6"/>
      <c r="M107" s="17"/>
      <c r="N107" s="39">
        <v>2</v>
      </c>
      <c r="O107" s="42">
        <v>2000</v>
      </c>
      <c r="P107" s="48" t="s">
        <v>88</v>
      </c>
      <c r="Q107" s="47" t="s">
        <v>89</v>
      </c>
      <c r="R107" s="15"/>
      <c r="S107" s="15"/>
    </row>
    <row r="108" spans="1:19" s="3" customFormat="1" ht="29.25" customHeight="1" thickBot="1" x14ac:dyDescent="0.3">
      <c r="A108" s="13"/>
      <c r="B108" s="14" t="s">
        <v>95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6"/>
      <c r="M108" s="17"/>
      <c r="N108" s="39">
        <v>1</v>
      </c>
      <c r="O108" s="43">
        <v>2000</v>
      </c>
      <c r="P108" s="48" t="s">
        <v>88</v>
      </c>
      <c r="Q108" s="47" t="s">
        <v>89</v>
      </c>
      <c r="R108" s="15"/>
      <c r="S108" s="15"/>
    </row>
    <row r="109" spans="1:19" s="3" customFormat="1" ht="29.25" customHeight="1" thickTop="1" thickBot="1" x14ac:dyDescent="0.3">
      <c r="A109" s="13"/>
      <c r="B109" s="14" t="s">
        <v>96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6"/>
      <c r="M109" s="17"/>
      <c r="N109" s="39">
        <v>6</v>
      </c>
      <c r="O109" s="42">
        <v>2000</v>
      </c>
      <c r="P109" s="48" t="s">
        <v>88</v>
      </c>
      <c r="Q109" s="47" t="s">
        <v>89</v>
      </c>
      <c r="R109" s="15"/>
      <c r="S109" s="15"/>
    </row>
    <row r="110" spans="1:19" s="3" customFormat="1" ht="29.25" customHeight="1" thickBot="1" x14ac:dyDescent="0.3">
      <c r="A110" s="13"/>
      <c r="B110" s="14" t="s">
        <v>97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6"/>
      <c r="M110" s="17"/>
      <c r="N110" s="39">
        <v>5</v>
      </c>
      <c r="O110" s="43">
        <v>2000</v>
      </c>
      <c r="P110" s="48" t="s">
        <v>88</v>
      </c>
      <c r="Q110" s="47" t="s">
        <v>89</v>
      </c>
      <c r="R110" s="15"/>
      <c r="S110" s="15"/>
    </row>
    <row r="111" spans="1:19" s="3" customFormat="1" ht="29.25" customHeight="1" thickTop="1" thickBot="1" x14ac:dyDescent="0.3">
      <c r="A111" s="13"/>
      <c r="B111" s="14" t="s">
        <v>98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6"/>
      <c r="M111" s="17"/>
      <c r="N111" s="39">
        <v>2</v>
      </c>
      <c r="O111" s="42">
        <v>2000</v>
      </c>
      <c r="P111" s="48" t="s">
        <v>88</v>
      </c>
      <c r="Q111" s="47" t="s">
        <v>89</v>
      </c>
      <c r="R111" s="15"/>
      <c r="S111" s="15"/>
    </row>
    <row r="112" spans="1:19" s="3" customFormat="1" ht="29.25" customHeight="1" thickBot="1" x14ac:dyDescent="0.3">
      <c r="A112" s="13"/>
      <c r="B112" s="14" t="s">
        <v>99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6"/>
      <c r="M112" s="17"/>
      <c r="N112" s="39">
        <v>3</v>
      </c>
      <c r="O112" s="43">
        <v>2000</v>
      </c>
      <c r="P112" s="48" t="s">
        <v>88</v>
      </c>
      <c r="Q112" s="47" t="s">
        <v>89</v>
      </c>
      <c r="R112" s="15"/>
      <c r="S112" s="15"/>
    </row>
    <row r="113" spans="1:19" s="3" customFormat="1" ht="29.25" customHeight="1" thickTop="1" thickBot="1" x14ac:dyDescent="0.3">
      <c r="A113" s="13"/>
      <c r="B113" s="14" t="s">
        <v>100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6"/>
      <c r="M113" s="17"/>
      <c r="N113" s="39">
        <v>5</v>
      </c>
      <c r="O113" s="42">
        <v>2000</v>
      </c>
      <c r="P113" s="48" t="s">
        <v>88</v>
      </c>
      <c r="Q113" s="47" t="s">
        <v>89</v>
      </c>
      <c r="R113" s="15"/>
      <c r="S113" s="15"/>
    </row>
    <row r="114" spans="1:19" s="3" customFormat="1" ht="29.25" customHeight="1" thickBot="1" x14ac:dyDescent="0.3">
      <c r="A114" s="13"/>
      <c r="B114" s="14" t="s">
        <v>101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6"/>
      <c r="M114" s="17"/>
      <c r="N114" s="39">
        <v>2</v>
      </c>
      <c r="O114" s="43">
        <v>2000</v>
      </c>
      <c r="P114" s="48" t="s">
        <v>88</v>
      </c>
      <c r="Q114" s="47" t="s">
        <v>89</v>
      </c>
      <c r="R114" s="15"/>
      <c r="S114" s="15"/>
    </row>
    <row r="115" spans="1:19" s="3" customFormat="1" ht="29.25" customHeight="1" thickTop="1" thickBot="1" x14ac:dyDescent="0.3">
      <c r="A115" s="41"/>
      <c r="B115" s="14" t="s">
        <v>102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6"/>
      <c r="M115" s="17"/>
      <c r="N115" s="39">
        <v>20</v>
      </c>
      <c r="O115" s="42">
        <v>2000</v>
      </c>
      <c r="P115" s="48" t="s">
        <v>88</v>
      </c>
      <c r="Q115" s="47" t="s">
        <v>89</v>
      </c>
      <c r="R115" s="15"/>
      <c r="S115" s="15"/>
    </row>
    <row r="116" spans="1:19" s="3" customFormat="1" ht="29.25" customHeight="1" thickBot="1" x14ac:dyDescent="0.3">
      <c r="A116" s="13"/>
      <c r="B116" s="14" t="s">
        <v>114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6"/>
      <c r="M116" s="17"/>
      <c r="N116" s="39">
        <v>2</v>
      </c>
      <c r="O116" s="43">
        <v>2000</v>
      </c>
      <c r="P116" s="48" t="s">
        <v>88</v>
      </c>
      <c r="Q116" s="47" t="s">
        <v>89</v>
      </c>
      <c r="R116" s="15"/>
      <c r="S116" s="15"/>
    </row>
    <row r="117" spans="1:19" s="3" customFormat="1" ht="29.25" customHeight="1" thickTop="1" thickBot="1" x14ac:dyDescent="0.3">
      <c r="A117" s="13"/>
      <c r="B117" s="14" t="s">
        <v>115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6"/>
      <c r="M117" s="17"/>
      <c r="N117" s="39">
        <v>2</v>
      </c>
      <c r="O117" s="42">
        <v>2000</v>
      </c>
      <c r="P117" s="48" t="s">
        <v>88</v>
      </c>
      <c r="Q117" s="47" t="s">
        <v>89</v>
      </c>
      <c r="R117" s="15"/>
      <c r="S117" s="15"/>
    </row>
    <row r="118" spans="1:19" s="3" customFormat="1" ht="29.25" customHeight="1" thickBot="1" x14ac:dyDescent="0.3">
      <c r="A118" s="13"/>
      <c r="B118" s="14" t="s">
        <v>116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6"/>
      <c r="M118" s="17"/>
      <c r="N118" s="39">
        <v>4</v>
      </c>
      <c r="O118" s="43">
        <v>2000</v>
      </c>
      <c r="P118" s="48" t="s">
        <v>88</v>
      </c>
      <c r="Q118" s="47" t="s">
        <v>89</v>
      </c>
      <c r="R118" s="15"/>
      <c r="S118" s="15"/>
    </row>
    <row r="119" spans="1:19" s="3" customFormat="1" ht="29.25" customHeight="1" thickTop="1" thickBot="1" x14ac:dyDescent="0.3">
      <c r="A119" s="13"/>
      <c r="B119" s="14" t="s">
        <v>117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6"/>
      <c r="M119" s="17"/>
      <c r="N119" s="39">
        <v>11</v>
      </c>
      <c r="O119" s="42">
        <v>2000</v>
      </c>
      <c r="P119" s="48" t="s">
        <v>88</v>
      </c>
      <c r="Q119" s="47" t="s">
        <v>89</v>
      </c>
      <c r="R119" s="15"/>
      <c r="S119" s="15"/>
    </row>
    <row r="120" spans="1:19" s="3" customFormat="1" ht="29.25" customHeight="1" thickBot="1" x14ac:dyDescent="0.3">
      <c r="A120" s="13"/>
      <c r="B120" s="14" t="s">
        <v>118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6"/>
      <c r="M120" s="17"/>
      <c r="N120" s="39">
        <v>5</v>
      </c>
      <c r="O120" s="43">
        <v>2000</v>
      </c>
      <c r="P120" s="48" t="s">
        <v>88</v>
      </c>
      <c r="Q120" s="47" t="s">
        <v>89</v>
      </c>
      <c r="R120" s="15"/>
      <c r="S120" s="15"/>
    </row>
    <row r="121" spans="1:19" s="3" customFormat="1" ht="29.25" customHeight="1" thickTop="1" thickBot="1" x14ac:dyDescent="0.3">
      <c r="A121" s="13"/>
      <c r="B121" s="14" t="s">
        <v>119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6"/>
      <c r="M121" s="17"/>
      <c r="N121" s="39">
        <v>2</v>
      </c>
      <c r="O121" s="42">
        <v>2000</v>
      </c>
      <c r="P121" s="48" t="s">
        <v>88</v>
      </c>
      <c r="Q121" s="47" t="s">
        <v>89</v>
      </c>
      <c r="R121" s="15"/>
      <c r="S121" s="15"/>
    </row>
    <row r="122" spans="1:19" s="3" customFormat="1" ht="29.25" customHeight="1" thickBot="1" x14ac:dyDescent="0.3">
      <c r="A122" s="13"/>
      <c r="B122" s="14" t="s">
        <v>120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6"/>
      <c r="M122" s="17"/>
      <c r="N122" s="39">
        <v>1</v>
      </c>
      <c r="O122" s="43">
        <v>2000</v>
      </c>
      <c r="P122" s="48" t="s">
        <v>88</v>
      </c>
      <c r="Q122" s="47" t="s">
        <v>89</v>
      </c>
      <c r="R122" s="15"/>
      <c r="S122" s="15"/>
    </row>
    <row r="123" spans="1:19" s="3" customFormat="1" ht="29.25" customHeight="1" thickTop="1" thickBot="1" x14ac:dyDescent="0.3">
      <c r="A123" s="13"/>
      <c r="B123" s="14" t="s">
        <v>121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6"/>
      <c r="M123" s="17"/>
      <c r="N123" s="39">
        <v>1</v>
      </c>
      <c r="O123" s="42">
        <v>2000</v>
      </c>
      <c r="P123" s="48" t="s">
        <v>88</v>
      </c>
      <c r="Q123" s="47" t="s">
        <v>89</v>
      </c>
      <c r="R123" s="15"/>
      <c r="S123" s="15"/>
    </row>
    <row r="124" spans="1:19" s="3" customFormat="1" ht="29.25" customHeight="1" thickBot="1" x14ac:dyDescent="0.3">
      <c r="A124" s="13"/>
      <c r="B124" s="14" t="s">
        <v>122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6"/>
      <c r="M124" s="17"/>
      <c r="N124" s="39">
        <v>1</v>
      </c>
      <c r="O124" s="43">
        <v>2000</v>
      </c>
      <c r="P124" s="48" t="s">
        <v>88</v>
      </c>
      <c r="Q124" s="47" t="s">
        <v>89</v>
      </c>
      <c r="R124" s="15"/>
      <c r="S124" s="15"/>
    </row>
    <row r="125" spans="1:19" s="3" customFormat="1" ht="29.25" customHeight="1" thickTop="1" thickBot="1" x14ac:dyDescent="0.3">
      <c r="A125" s="13"/>
      <c r="B125" s="14" t="s">
        <v>123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6"/>
      <c r="M125" s="17"/>
      <c r="N125" s="39">
        <v>1</v>
      </c>
      <c r="O125" s="42">
        <v>2000</v>
      </c>
      <c r="P125" s="48" t="s">
        <v>88</v>
      </c>
      <c r="Q125" s="47" t="s">
        <v>89</v>
      </c>
      <c r="R125" s="15"/>
      <c r="S125" s="15"/>
    </row>
    <row r="126" spans="1:19" s="3" customFormat="1" ht="29.25" customHeight="1" thickBot="1" x14ac:dyDescent="0.3">
      <c r="A126" s="13"/>
      <c r="B126" s="14" t="s">
        <v>124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6"/>
      <c r="M126" s="17"/>
      <c r="N126" s="39">
        <v>1</v>
      </c>
      <c r="O126" s="43">
        <v>2000</v>
      </c>
      <c r="P126" s="48" t="s">
        <v>88</v>
      </c>
      <c r="Q126" s="47" t="s">
        <v>89</v>
      </c>
      <c r="R126" s="15"/>
      <c r="S126" s="15"/>
    </row>
    <row r="127" spans="1:19" s="3" customFormat="1" ht="29.25" customHeight="1" thickTop="1" thickBot="1" x14ac:dyDescent="0.3">
      <c r="A127" s="13"/>
      <c r="B127" s="14" t="s">
        <v>125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6"/>
      <c r="M127" s="17"/>
      <c r="N127" s="39">
        <v>8</v>
      </c>
      <c r="O127" s="42">
        <v>2000</v>
      </c>
      <c r="P127" s="48" t="s">
        <v>88</v>
      </c>
      <c r="Q127" s="47" t="s">
        <v>89</v>
      </c>
      <c r="R127" s="15"/>
      <c r="S127" s="15"/>
    </row>
    <row r="128" spans="1:19" s="3" customFormat="1" ht="29.25" customHeight="1" thickBot="1" x14ac:dyDescent="0.3">
      <c r="A128" s="13"/>
      <c r="B128" s="14" t="s">
        <v>126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6"/>
      <c r="M128" s="17"/>
      <c r="N128" s="39">
        <v>6</v>
      </c>
      <c r="O128" s="43">
        <v>2000</v>
      </c>
      <c r="P128" s="48" t="s">
        <v>88</v>
      </c>
      <c r="Q128" s="47" t="s">
        <v>89</v>
      </c>
      <c r="R128" s="15"/>
      <c r="S128" s="15"/>
    </row>
    <row r="129" spans="1:19" s="3" customFormat="1" ht="29.25" customHeight="1" thickTop="1" thickBot="1" x14ac:dyDescent="0.3">
      <c r="A129" s="13"/>
      <c r="B129" s="14" t="s">
        <v>178</v>
      </c>
      <c r="C129" s="15"/>
      <c r="D129" s="15"/>
      <c r="E129" s="15"/>
      <c r="F129" s="15"/>
      <c r="G129" s="15"/>
      <c r="H129" s="15"/>
      <c r="I129" s="13"/>
      <c r="J129" s="15"/>
      <c r="K129" s="15"/>
      <c r="L129" s="16"/>
      <c r="M129" s="17"/>
      <c r="N129" s="39">
        <v>3</v>
      </c>
      <c r="O129" s="42">
        <v>500</v>
      </c>
      <c r="P129" s="48" t="s">
        <v>180</v>
      </c>
      <c r="Q129" s="47" t="s">
        <v>181</v>
      </c>
      <c r="R129" s="15"/>
      <c r="S129" s="15"/>
    </row>
    <row r="130" spans="1:19" s="3" customFormat="1" ht="29.25" customHeight="1" thickTop="1" thickBot="1" x14ac:dyDescent="0.3">
      <c r="A130" s="13"/>
      <c r="B130" s="14" t="s">
        <v>179</v>
      </c>
      <c r="C130" s="15"/>
      <c r="D130" s="15"/>
      <c r="E130" s="15"/>
      <c r="F130" s="15"/>
      <c r="G130" s="15"/>
      <c r="H130" s="15"/>
      <c r="I130" s="13"/>
      <c r="J130" s="15"/>
      <c r="K130" s="15"/>
      <c r="L130" s="16"/>
      <c r="M130" s="17"/>
      <c r="N130" s="39">
        <v>8</v>
      </c>
      <c r="O130" s="42">
        <v>1500</v>
      </c>
      <c r="P130" s="48" t="s">
        <v>180</v>
      </c>
      <c r="Q130" s="47" t="s">
        <v>181</v>
      </c>
      <c r="R130" s="15"/>
      <c r="S130" s="15"/>
    </row>
    <row r="131" spans="1:19" s="3" customFormat="1" ht="29.25" customHeight="1" thickTop="1" thickBot="1" x14ac:dyDescent="0.3">
      <c r="A131" s="13"/>
      <c r="B131" s="14" t="s">
        <v>182</v>
      </c>
      <c r="C131" s="15"/>
      <c r="D131" s="15"/>
      <c r="E131" s="15"/>
      <c r="F131" s="15"/>
      <c r="G131" s="15"/>
      <c r="H131" s="15"/>
      <c r="I131" s="13" t="s">
        <v>76</v>
      </c>
      <c r="J131" s="15"/>
      <c r="K131" s="15"/>
      <c r="L131" s="16"/>
      <c r="M131" s="17"/>
      <c r="N131" s="39">
        <v>2</v>
      </c>
      <c r="O131" s="42">
        <v>5000</v>
      </c>
      <c r="P131" s="48" t="s">
        <v>180</v>
      </c>
      <c r="Q131" s="47" t="s">
        <v>181</v>
      </c>
      <c r="R131" s="15"/>
      <c r="S131" s="15"/>
    </row>
    <row r="132" spans="1:19" s="3" customFormat="1" ht="29.25" customHeight="1" thickTop="1" thickBot="1" x14ac:dyDescent="0.3">
      <c r="A132" s="13"/>
      <c r="B132" s="14" t="s">
        <v>183</v>
      </c>
      <c r="C132" s="15"/>
      <c r="D132" s="15"/>
      <c r="E132" s="15"/>
      <c r="F132" s="15"/>
      <c r="G132" s="15"/>
      <c r="H132" s="15"/>
      <c r="I132" s="13" t="s">
        <v>76</v>
      </c>
      <c r="J132" s="15"/>
      <c r="K132" s="15"/>
      <c r="L132" s="16"/>
      <c r="M132" s="17"/>
      <c r="N132" s="39">
        <v>4</v>
      </c>
      <c r="O132" s="42">
        <v>5000</v>
      </c>
      <c r="P132" s="48" t="s">
        <v>180</v>
      </c>
      <c r="Q132" s="47" t="s">
        <v>181</v>
      </c>
      <c r="R132" s="15"/>
      <c r="S132" s="15"/>
    </row>
    <row r="133" spans="1:19" s="3" customFormat="1" ht="29.25" customHeight="1" thickTop="1" thickBot="1" x14ac:dyDescent="0.3">
      <c r="A133" s="13"/>
      <c r="B133" s="14" t="s">
        <v>163</v>
      </c>
      <c r="C133" s="15"/>
      <c r="D133" s="15"/>
      <c r="E133" s="15"/>
      <c r="F133" s="15"/>
      <c r="G133" s="15"/>
      <c r="H133" s="15"/>
      <c r="I133" s="13" t="s">
        <v>164</v>
      </c>
      <c r="J133" s="15"/>
      <c r="K133" s="15"/>
      <c r="L133" s="16"/>
      <c r="M133" s="17"/>
      <c r="N133" s="39">
        <v>3</v>
      </c>
      <c r="O133" s="42">
        <v>5000</v>
      </c>
      <c r="P133" s="48" t="s">
        <v>161</v>
      </c>
      <c r="Q133" s="47" t="s">
        <v>162</v>
      </c>
      <c r="R133" s="15"/>
      <c r="S133" s="15"/>
    </row>
    <row r="134" spans="1:19" s="3" customFormat="1" ht="29.25" customHeight="1" thickTop="1" thickBot="1" x14ac:dyDescent="0.3">
      <c r="A134" s="13"/>
      <c r="B134" s="14" t="s">
        <v>163</v>
      </c>
      <c r="C134" s="15"/>
      <c r="D134" s="15"/>
      <c r="E134" s="15"/>
      <c r="F134" s="15"/>
      <c r="G134" s="15"/>
      <c r="H134" s="15"/>
      <c r="I134" s="13" t="s">
        <v>165</v>
      </c>
      <c r="J134" s="15"/>
      <c r="K134" s="15"/>
      <c r="L134" s="16"/>
      <c r="M134" s="17"/>
      <c r="N134" s="39">
        <v>17</v>
      </c>
      <c r="O134" s="42">
        <v>3000</v>
      </c>
      <c r="P134" s="48" t="s">
        <v>161</v>
      </c>
      <c r="Q134" s="47" t="s">
        <v>162</v>
      </c>
      <c r="R134" s="15"/>
      <c r="S134" s="15"/>
    </row>
    <row r="135" spans="1:19" s="3" customFormat="1" ht="29.25" customHeight="1" thickTop="1" thickBot="1" x14ac:dyDescent="0.3">
      <c r="A135" s="13"/>
      <c r="B135" s="14" t="s">
        <v>163</v>
      </c>
      <c r="C135" s="15"/>
      <c r="D135" s="15"/>
      <c r="E135" s="15"/>
      <c r="F135" s="15"/>
      <c r="G135" s="15"/>
      <c r="H135" s="15"/>
      <c r="I135" s="13" t="s">
        <v>166</v>
      </c>
      <c r="J135" s="15"/>
      <c r="K135" s="15"/>
      <c r="L135" s="16"/>
      <c r="M135" s="17"/>
      <c r="N135" s="39">
        <v>10</v>
      </c>
      <c r="O135" s="42">
        <v>2000</v>
      </c>
      <c r="P135" s="48" t="s">
        <v>161</v>
      </c>
      <c r="Q135" s="47" t="s">
        <v>162</v>
      </c>
      <c r="R135" s="15"/>
      <c r="S135" s="15"/>
    </row>
    <row r="136" spans="1:19" s="3" customFormat="1" ht="29.25" customHeight="1" thickTop="1" thickBot="1" x14ac:dyDescent="0.3">
      <c r="A136" s="13"/>
      <c r="B136" s="14" t="s">
        <v>167</v>
      </c>
      <c r="C136" s="15"/>
      <c r="D136" s="15"/>
      <c r="E136" s="15"/>
      <c r="F136" s="15"/>
      <c r="G136" s="15"/>
      <c r="H136" s="15"/>
      <c r="I136" s="13" t="s">
        <v>168</v>
      </c>
      <c r="J136" s="15"/>
      <c r="K136" s="15"/>
      <c r="L136" s="16"/>
      <c r="M136" s="17"/>
      <c r="N136" s="39">
        <v>1</v>
      </c>
      <c r="O136" s="42">
        <v>3500</v>
      </c>
      <c r="P136" s="48" t="s">
        <v>161</v>
      </c>
      <c r="Q136" s="47" t="s">
        <v>162</v>
      </c>
      <c r="R136" s="15"/>
      <c r="S136" s="15"/>
    </row>
    <row r="137" spans="1:19" s="3" customFormat="1" ht="29.25" customHeight="1" thickTop="1" thickBot="1" x14ac:dyDescent="0.3">
      <c r="A137" s="13"/>
      <c r="B137" s="14" t="s">
        <v>167</v>
      </c>
      <c r="C137" s="15"/>
      <c r="D137" s="15"/>
      <c r="E137" s="15"/>
      <c r="F137" s="15"/>
      <c r="G137" s="15"/>
      <c r="H137" s="15"/>
      <c r="I137" s="13" t="s">
        <v>169</v>
      </c>
      <c r="J137" s="15"/>
      <c r="K137" s="15"/>
      <c r="L137" s="16"/>
      <c r="M137" s="17"/>
      <c r="N137" s="39">
        <v>1</v>
      </c>
      <c r="O137" s="42">
        <v>3000</v>
      </c>
      <c r="P137" s="48" t="s">
        <v>161</v>
      </c>
      <c r="Q137" s="47" t="s">
        <v>162</v>
      </c>
      <c r="R137" s="15"/>
      <c r="S137" s="15"/>
    </row>
    <row r="138" spans="1:19" s="3" customFormat="1" ht="29.25" customHeight="1" thickTop="1" thickBot="1" x14ac:dyDescent="0.3">
      <c r="A138" s="13"/>
      <c r="B138" s="14" t="s">
        <v>167</v>
      </c>
      <c r="C138" s="15"/>
      <c r="D138" s="15"/>
      <c r="E138" s="15"/>
      <c r="F138" s="15"/>
      <c r="G138" s="15"/>
      <c r="H138" s="15"/>
      <c r="I138" s="13" t="s">
        <v>170</v>
      </c>
      <c r="J138" s="15"/>
      <c r="K138" s="15"/>
      <c r="L138" s="16"/>
      <c r="M138" s="17"/>
      <c r="N138" s="39">
        <v>1</v>
      </c>
      <c r="O138" s="42">
        <v>3000</v>
      </c>
      <c r="P138" s="48" t="s">
        <v>161</v>
      </c>
      <c r="Q138" s="47" t="s">
        <v>162</v>
      </c>
      <c r="R138" s="15"/>
      <c r="S138" s="15"/>
    </row>
    <row r="139" spans="1:19" s="3" customFormat="1" ht="29.25" customHeight="1" thickTop="1" thickBot="1" x14ac:dyDescent="0.3">
      <c r="A139" s="13"/>
      <c r="B139" s="14" t="s">
        <v>167</v>
      </c>
      <c r="C139" s="15"/>
      <c r="D139" s="15"/>
      <c r="E139" s="15"/>
      <c r="F139" s="15"/>
      <c r="G139" s="15"/>
      <c r="H139" s="15"/>
      <c r="I139" s="13" t="s">
        <v>171</v>
      </c>
      <c r="J139" s="15"/>
      <c r="K139" s="15"/>
      <c r="L139" s="16"/>
      <c r="M139" s="17"/>
      <c r="N139" s="39">
        <v>1</v>
      </c>
      <c r="O139" s="42">
        <v>2250</v>
      </c>
      <c r="P139" s="48" t="s">
        <v>161</v>
      </c>
      <c r="Q139" s="47" t="s">
        <v>162</v>
      </c>
      <c r="R139" s="15"/>
      <c r="S139" s="15"/>
    </row>
    <row r="140" spans="1:19" s="3" customFormat="1" ht="29.25" customHeight="1" thickTop="1" thickBot="1" x14ac:dyDescent="0.3">
      <c r="A140" s="13"/>
      <c r="B140" s="14" t="s">
        <v>167</v>
      </c>
      <c r="C140" s="15"/>
      <c r="D140" s="15"/>
      <c r="E140" s="15"/>
      <c r="F140" s="15"/>
      <c r="G140" s="15"/>
      <c r="H140" s="15"/>
      <c r="I140" s="13" t="s">
        <v>172</v>
      </c>
      <c r="J140" s="15"/>
      <c r="K140" s="15"/>
      <c r="L140" s="16"/>
      <c r="M140" s="17"/>
      <c r="N140" s="39">
        <v>2</v>
      </c>
      <c r="O140" s="42">
        <v>1500</v>
      </c>
      <c r="P140" s="48" t="s">
        <v>161</v>
      </c>
      <c r="Q140" s="47" t="s">
        <v>162</v>
      </c>
      <c r="R140" s="15"/>
      <c r="S140" s="15"/>
    </row>
    <row r="141" spans="1:19" s="3" customFormat="1" ht="29.25" customHeight="1" thickTop="1" thickBot="1" x14ac:dyDescent="0.3">
      <c r="A141" s="13"/>
      <c r="B141" s="14" t="s">
        <v>173</v>
      </c>
      <c r="C141" s="15"/>
      <c r="D141" s="15"/>
      <c r="E141" s="15"/>
      <c r="F141" s="15"/>
      <c r="G141" s="15"/>
      <c r="H141" s="15"/>
      <c r="I141" s="13"/>
      <c r="J141" s="15"/>
      <c r="K141" s="15"/>
      <c r="L141" s="16"/>
      <c r="M141" s="17"/>
      <c r="N141" s="39">
        <v>1</v>
      </c>
      <c r="O141" s="42">
        <v>1500</v>
      </c>
      <c r="P141" s="48" t="s">
        <v>161</v>
      </c>
      <c r="Q141" s="47" t="s">
        <v>162</v>
      </c>
      <c r="R141" s="15"/>
      <c r="S141" s="15"/>
    </row>
    <row r="142" spans="1:19" s="3" customFormat="1" ht="29.25" customHeight="1" thickTop="1" thickBot="1" x14ac:dyDescent="0.3">
      <c r="A142" s="13"/>
      <c r="B142" s="14" t="s">
        <v>174</v>
      </c>
      <c r="C142" s="15"/>
      <c r="D142" s="15"/>
      <c r="E142" s="15"/>
      <c r="F142" s="15"/>
      <c r="G142" s="15"/>
      <c r="H142" s="15"/>
      <c r="I142" s="13"/>
      <c r="J142" s="15"/>
      <c r="K142" s="15"/>
      <c r="L142" s="16"/>
      <c r="M142" s="17"/>
      <c r="N142" s="39">
        <v>1</v>
      </c>
      <c r="O142" s="42">
        <v>500</v>
      </c>
      <c r="P142" s="48" t="s">
        <v>161</v>
      </c>
      <c r="Q142" s="47" t="s">
        <v>162</v>
      </c>
      <c r="R142" s="15"/>
      <c r="S142" s="15"/>
    </row>
    <row r="143" spans="1:19" s="3" customFormat="1" ht="29.25" customHeight="1" thickTop="1" thickBot="1" x14ac:dyDescent="0.3">
      <c r="A143" s="13"/>
      <c r="B143" s="14" t="s">
        <v>175</v>
      </c>
      <c r="C143" s="15"/>
      <c r="D143" s="15"/>
      <c r="E143" s="15"/>
      <c r="F143" s="15"/>
      <c r="G143" s="15"/>
      <c r="H143" s="15"/>
      <c r="I143" s="13" t="s">
        <v>176</v>
      </c>
      <c r="J143" s="15"/>
      <c r="K143" s="15"/>
      <c r="L143" s="16"/>
      <c r="M143" s="17"/>
      <c r="N143" s="39">
        <v>5</v>
      </c>
      <c r="O143" s="42">
        <v>1500</v>
      </c>
      <c r="P143" s="48" t="s">
        <v>161</v>
      </c>
      <c r="Q143" s="47" t="s">
        <v>162</v>
      </c>
      <c r="R143" s="15"/>
      <c r="S143" s="15"/>
    </row>
    <row r="144" spans="1:19" s="3" customFormat="1" ht="29.25" customHeight="1" thickTop="1" thickBot="1" x14ac:dyDescent="0.3">
      <c r="A144" s="13"/>
      <c r="B144" s="14" t="s">
        <v>175</v>
      </c>
      <c r="C144" s="15"/>
      <c r="D144" s="15"/>
      <c r="E144" s="15"/>
      <c r="F144" s="15"/>
      <c r="G144" s="15"/>
      <c r="H144" s="15"/>
      <c r="I144" s="13" t="s">
        <v>177</v>
      </c>
      <c r="J144" s="15"/>
      <c r="K144" s="15"/>
      <c r="L144" s="16"/>
      <c r="M144" s="17"/>
      <c r="N144" s="39">
        <v>3</v>
      </c>
      <c r="O144" s="42">
        <v>1000</v>
      </c>
      <c r="P144" s="48" t="s">
        <v>161</v>
      </c>
      <c r="Q144" s="47" t="s">
        <v>162</v>
      </c>
      <c r="R144" s="15"/>
      <c r="S144" s="15"/>
    </row>
    <row r="145" spans="1:19" s="3" customFormat="1" ht="29.25" customHeight="1" thickTop="1" thickBot="1" x14ac:dyDescent="0.3">
      <c r="A145" s="13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6"/>
      <c r="M145" s="17"/>
      <c r="N145" s="39"/>
      <c r="O145" s="42"/>
      <c r="P145" s="48"/>
      <c r="Q145" s="47"/>
      <c r="R145" s="15"/>
      <c r="S145" s="15"/>
    </row>
    <row r="146" spans="1:19" s="3" customFormat="1" ht="29.25" customHeight="1" thickTop="1" thickBot="1" x14ac:dyDescent="0.3">
      <c r="A146" s="13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6"/>
      <c r="M146" s="17"/>
      <c r="N146" s="39"/>
      <c r="O146" s="42"/>
      <c r="P146" s="48"/>
      <c r="Q146" s="47"/>
      <c r="R146" s="15"/>
      <c r="S146" s="15"/>
    </row>
    <row r="147" spans="1:19" s="3" customFormat="1" ht="29.25" customHeight="1" thickTop="1" thickBot="1" x14ac:dyDescent="0.3">
      <c r="A147" s="13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6"/>
      <c r="M147" s="17"/>
      <c r="N147" s="39"/>
      <c r="O147" s="42"/>
      <c r="P147" s="48"/>
      <c r="Q147" s="47"/>
      <c r="R147" s="15"/>
      <c r="S147" s="15"/>
    </row>
    <row r="148" spans="1:19" s="3" customFormat="1" ht="29.25" customHeight="1" thickTop="1" thickBot="1" x14ac:dyDescent="0.3">
      <c r="A148" s="13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6"/>
      <c r="M148" s="17"/>
      <c r="N148" s="39"/>
      <c r="O148" s="42"/>
      <c r="P148" s="48"/>
      <c r="Q148" s="47"/>
      <c r="R148" s="15"/>
      <c r="S148" s="15"/>
    </row>
    <row r="149" spans="1:19" s="3" customFormat="1" ht="29.25" customHeight="1" thickTop="1" thickBot="1" x14ac:dyDescent="0.3">
      <c r="A149" s="13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6"/>
      <c r="M149" s="17"/>
      <c r="N149" s="39"/>
      <c r="O149" s="42"/>
      <c r="P149" s="48"/>
      <c r="Q149" s="47"/>
      <c r="R149" s="15"/>
      <c r="S149" s="15"/>
    </row>
    <row r="150" spans="1:19" s="3" customFormat="1" ht="29.25" customHeight="1" thickTop="1" thickBot="1" x14ac:dyDescent="0.3">
      <c r="A150" s="13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6"/>
      <c r="M150" s="17"/>
      <c r="N150" s="39"/>
      <c r="O150" s="42"/>
      <c r="P150" s="48"/>
      <c r="Q150" s="47"/>
      <c r="R150" s="15"/>
      <c r="S150" s="15"/>
    </row>
    <row r="151" spans="1:19" s="3" customFormat="1" ht="29.25" customHeight="1" thickTop="1" thickBot="1" x14ac:dyDescent="0.3">
      <c r="A151" s="13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6"/>
      <c r="M151" s="17"/>
      <c r="N151" s="39"/>
      <c r="O151" s="42"/>
      <c r="P151" s="48"/>
      <c r="Q151" s="47"/>
      <c r="R151" s="15"/>
      <c r="S151" s="15"/>
    </row>
    <row r="152" spans="1:19" s="3" customFormat="1" ht="29.25" customHeight="1" thickTop="1" thickBot="1" x14ac:dyDescent="0.3">
      <c r="A152" s="13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6"/>
      <c r="M152" s="17"/>
      <c r="N152" s="39"/>
      <c r="O152" s="42"/>
      <c r="P152" s="48"/>
      <c r="Q152" s="47"/>
      <c r="R152" s="15"/>
      <c r="S152" s="15"/>
    </row>
    <row r="153" spans="1:19" s="3" customFormat="1" ht="29.25" customHeight="1" thickTop="1" thickBot="1" x14ac:dyDescent="0.3">
      <c r="A153" s="13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6"/>
      <c r="M153" s="17"/>
      <c r="N153" s="39"/>
      <c r="O153" s="42"/>
      <c r="P153" s="48"/>
      <c r="Q153" s="47"/>
      <c r="R153" s="15"/>
      <c r="S153" s="15"/>
    </row>
    <row r="154" spans="1:19" s="3" customFormat="1" ht="29.25" customHeight="1" thickTop="1" thickBot="1" x14ac:dyDescent="0.3">
      <c r="A154" s="13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6"/>
      <c r="M154" s="17"/>
      <c r="N154" s="39"/>
      <c r="O154" s="42"/>
      <c r="P154" s="48"/>
      <c r="Q154" s="47"/>
      <c r="R154" s="15"/>
      <c r="S154" s="15"/>
    </row>
    <row r="155" spans="1:19" s="3" customFormat="1" ht="29.25" customHeight="1" thickTop="1" thickBot="1" x14ac:dyDescent="0.3">
      <c r="A155" s="13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6"/>
      <c r="M155" s="17"/>
      <c r="N155" s="39"/>
      <c r="O155" s="42"/>
      <c r="P155" s="48"/>
      <c r="Q155" s="47"/>
      <c r="R155" s="15"/>
      <c r="S155" s="15"/>
    </row>
    <row r="156" spans="1:19" s="3" customFormat="1" ht="29.25" customHeight="1" thickTop="1" thickBot="1" x14ac:dyDescent="0.3">
      <c r="A156" s="13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6"/>
      <c r="M156" s="17"/>
      <c r="N156" s="39"/>
      <c r="O156" s="42"/>
      <c r="P156" s="48"/>
      <c r="Q156" s="47"/>
      <c r="R156" s="15"/>
      <c r="S156" s="15"/>
    </row>
    <row r="157" spans="1:19" s="3" customFormat="1" ht="29.25" customHeight="1" thickTop="1" thickBot="1" x14ac:dyDescent="0.3">
      <c r="A157" s="13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6"/>
      <c r="M157" s="17"/>
      <c r="N157" s="39"/>
      <c r="O157" s="42"/>
      <c r="P157" s="18"/>
      <c r="Q157" s="47"/>
      <c r="R157" s="15"/>
      <c r="S157" s="15"/>
    </row>
    <row r="158" spans="1:19" s="3" customFormat="1" ht="29.25" customHeight="1" thickBot="1" x14ac:dyDescent="0.3">
      <c r="A158" s="13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6"/>
      <c r="M158" s="17"/>
      <c r="N158" s="39"/>
      <c r="O158" s="43"/>
      <c r="P158" s="18"/>
      <c r="Q158" s="47"/>
      <c r="R158" s="15"/>
      <c r="S158" s="15"/>
    </row>
    <row r="159" spans="1:19" s="3" customFormat="1" ht="29.25" customHeight="1" thickTop="1" thickBot="1" x14ac:dyDescent="0.3">
      <c r="A159" s="13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6"/>
      <c r="M159" s="17"/>
      <c r="N159" s="39"/>
      <c r="O159" s="42"/>
      <c r="P159" s="18"/>
      <c r="Q159" s="47"/>
      <c r="R159" s="15"/>
      <c r="S159" s="15"/>
    </row>
    <row r="160" spans="1:19" s="3" customFormat="1" ht="29.25" customHeight="1" thickBot="1" x14ac:dyDescent="0.3">
      <c r="A160" s="13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6"/>
      <c r="M160" s="17"/>
      <c r="N160" s="39"/>
      <c r="O160" s="43"/>
      <c r="P160" s="18"/>
      <c r="Q160" s="47"/>
      <c r="R160" s="15"/>
      <c r="S160" s="15"/>
    </row>
    <row r="161" spans="1:19" s="3" customFormat="1" ht="29.25" customHeight="1" thickTop="1" thickBot="1" x14ac:dyDescent="0.3">
      <c r="A161" s="13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6"/>
      <c r="M161" s="17"/>
      <c r="N161" s="39"/>
      <c r="O161" s="42"/>
      <c r="P161" s="18"/>
      <c r="Q161" s="47"/>
      <c r="R161" s="15"/>
      <c r="S161" s="15"/>
    </row>
    <row r="162" spans="1:19" s="3" customFormat="1" ht="29.25" customHeight="1" thickBot="1" x14ac:dyDescent="0.3">
      <c r="A162" s="13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6"/>
      <c r="M162" s="17"/>
      <c r="N162" s="39"/>
      <c r="O162" s="43"/>
      <c r="P162" s="18"/>
      <c r="Q162" s="47"/>
      <c r="R162" s="15"/>
      <c r="S162" s="15"/>
    </row>
    <row r="163" spans="1:19" s="3" customFormat="1" ht="29.25" customHeight="1" thickTop="1" thickBot="1" x14ac:dyDescent="0.3">
      <c r="A163" s="13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6"/>
      <c r="M163" s="17"/>
      <c r="N163" s="39"/>
      <c r="O163" s="42"/>
      <c r="P163" s="18"/>
      <c r="Q163" s="47"/>
      <c r="R163" s="15"/>
      <c r="S163" s="15"/>
    </row>
    <row r="164" spans="1:19" s="3" customFormat="1" ht="29.25" customHeight="1" thickBot="1" x14ac:dyDescent="0.3">
      <c r="A164" s="13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6"/>
      <c r="M164" s="17"/>
      <c r="N164" s="39"/>
      <c r="O164" s="43"/>
      <c r="P164" s="18"/>
      <c r="Q164" s="47"/>
      <c r="R164" s="15"/>
      <c r="S164" s="15"/>
    </row>
    <row r="165" spans="1:19" s="3" customFormat="1" ht="29.25" customHeight="1" thickTop="1" thickBot="1" x14ac:dyDescent="0.3">
      <c r="A165" s="13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6"/>
      <c r="M165" s="17"/>
      <c r="N165" s="39"/>
      <c r="O165" s="42"/>
      <c r="P165" s="18"/>
      <c r="Q165" s="47"/>
      <c r="R165" s="15"/>
      <c r="S165" s="15"/>
    </row>
    <row r="166" spans="1:19" s="3" customFormat="1" ht="29.25" customHeight="1" thickBot="1" x14ac:dyDescent="0.3">
      <c r="A166" s="13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6"/>
      <c r="M166" s="17"/>
      <c r="N166" s="39"/>
      <c r="O166" s="43"/>
      <c r="P166" s="18"/>
      <c r="Q166" s="47"/>
      <c r="R166" s="15"/>
      <c r="S166" s="15"/>
    </row>
    <row r="167" spans="1:19" s="3" customFormat="1" ht="29.25" customHeight="1" thickTop="1" thickBot="1" x14ac:dyDescent="0.3">
      <c r="A167" s="13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6"/>
      <c r="M167" s="17"/>
      <c r="N167" s="39"/>
      <c r="O167" s="42"/>
      <c r="P167" s="18"/>
      <c r="Q167" s="47"/>
      <c r="R167" s="15"/>
      <c r="S167" s="15"/>
    </row>
    <row r="168" spans="1:19" s="3" customFormat="1" ht="29.25" customHeight="1" thickBot="1" x14ac:dyDescent="0.3">
      <c r="A168" s="13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6"/>
      <c r="M168" s="17"/>
      <c r="N168" s="39"/>
      <c r="O168" s="43"/>
      <c r="P168" s="18"/>
      <c r="Q168" s="47"/>
      <c r="R168" s="15"/>
      <c r="S168" s="15"/>
    </row>
    <row r="169" spans="1:19" s="3" customFormat="1" ht="29.25" customHeight="1" thickTop="1" thickBot="1" x14ac:dyDescent="0.3">
      <c r="A169" s="13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6"/>
      <c r="M169" s="17"/>
      <c r="N169" s="39"/>
      <c r="O169" s="42"/>
      <c r="P169" s="18"/>
      <c r="Q169" s="47"/>
      <c r="R169" s="15"/>
      <c r="S169" s="15"/>
    </row>
    <row r="170" spans="1:19" s="3" customFormat="1" ht="29.25" customHeight="1" thickBot="1" x14ac:dyDescent="0.3">
      <c r="A170" s="13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6"/>
      <c r="M170" s="17"/>
      <c r="N170" s="39"/>
      <c r="O170" s="43"/>
      <c r="P170" s="18"/>
      <c r="Q170" s="47"/>
      <c r="R170" s="15"/>
      <c r="S170" s="15"/>
    </row>
    <row r="171" spans="1:19" s="3" customFormat="1" ht="29.25" customHeight="1" thickTop="1" thickBot="1" x14ac:dyDescent="0.3">
      <c r="A171" s="13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6"/>
      <c r="M171" s="17"/>
      <c r="N171" s="39"/>
      <c r="O171" s="42"/>
      <c r="P171" s="18"/>
      <c r="Q171" s="47"/>
      <c r="R171" s="15"/>
      <c r="S171" s="15"/>
    </row>
    <row r="172" spans="1:19" s="3" customFormat="1" ht="29.25" customHeight="1" thickBot="1" x14ac:dyDescent="0.3">
      <c r="A172" s="13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6"/>
      <c r="M172" s="17"/>
      <c r="N172" s="39"/>
      <c r="O172" s="43"/>
      <c r="P172" s="18"/>
      <c r="Q172" s="47"/>
      <c r="R172" s="15"/>
      <c r="S172" s="15"/>
    </row>
    <row r="173" spans="1:19" s="3" customFormat="1" ht="29.25" customHeight="1" thickTop="1" thickBot="1" x14ac:dyDescent="0.3">
      <c r="A173" s="13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6"/>
      <c r="M173" s="17"/>
      <c r="N173" s="39"/>
      <c r="O173" s="42"/>
      <c r="P173" s="18"/>
      <c r="Q173" s="47"/>
      <c r="R173" s="15"/>
      <c r="S173" s="15"/>
    </row>
    <row r="174" spans="1:19" s="3" customFormat="1" ht="29.25" customHeight="1" thickBot="1" x14ac:dyDescent="0.3">
      <c r="A174" s="13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6"/>
      <c r="M174" s="17"/>
      <c r="N174" s="39"/>
      <c r="O174" s="43"/>
      <c r="P174" s="18"/>
      <c r="Q174" s="47"/>
      <c r="R174" s="15"/>
      <c r="S174" s="15"/>
    </row>
    <row r="175" spans="1:19" s="3" customFormat="1" ht="29.25" customHeight="1" thickTop="1" thickBot="1" x14ac:dyDescent="0.3">
      <c r="A175" s="13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6"/>
      <c r="M175" s="17"/>
      <c r="N175" s="39"/>
      <c r="O175" s="42"/>
      <c r="P175" s="18"/>
      <c r="Q175" s="47"/>
      <c r="R175" s="15"/>
      <c r="S175" s="15"/>
    </row>
    <row r="176" spans="1:19" s="3" customFormat="1" ht="29.25" customHeight="1" thickBot="1" x14ac:dyDescent="0.3">
      <c r="A176" s="13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6"/>
      <c r="M176" s="17"/>
      <c r="N176" s="39"/>
      <c r="O176" s="43"/>
      <c r="P176" s="18"/>
      <c r="Q176" s="47"/>
      <c r="R176" s="15"/>
      <c r="S176" s="15"/>
    </row>
    <row r="177" spans="1:19" s="3" customFormat="1" ht="29.25" customHeight="1" x14ac:dyDescent="0.25">
      <c r="A177" s="13"/>
      <c r="B177" s="14" t="s">
        <v>41</v>
      </c>
      <c r="C177" s="15" t="s">
        <v>35</v>
      </c>
      <c r="D177" s="15" t="s">
        <v>36</v>
      </c>
      <c r="E177" s="15"/>
      <c r="F177" s="15"/>
      <c r="G177" s="15"/>
      <c r="H177" s="15"/>
      <c r="I177" s="15"/>
      <c r="J177" s="15"/>
      <c r="K177" s="15" t="s">
        <v>37</v>
      </c>
      <c r="L177" s="16">
        <v>44956</v>
      </c>
      <c r="M177" s="17">
        <v>46052</v>
      </c>
      <c r="N177" s="39"/>
      <c r="O177" s="25">
        <v>650</v>
      </c>
      <c r="P177" s="18" t="s">
        <v>38</v>
      </c>
      <c r="Q177" s="47">
        <v>696089048</v>
      </c>
      <c r="R177" s="15"/>
      <c r="S177" s="15"/>
    </row>
    <row r="178" spans="1:19" s="3" customFormat="1" ht="29.25" customHeight="1" x14ac:dyDescent="0.25">
      <c r="A178" s="13"/>
      <c r="B178" s="14" t="s">
        <v>42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6"/>
      <c r="M178" s="17"/>
      <c r="N178" s="39"/>
      <c r="O178" s="25">
        <v>300</v>
      </c>
      <c r="P178" s="18"/>
      <c r="Q178" s="47"/>
      <c r="R178" s="15"/>
      <c r="S178" s="15"/>
    </row>
    <row r="179" spans="1:19" s="3" customFormat="1" ht="29.25" customHeight="1" x14ac:dyDescent="0.25">
      <c r="A179" s="13"/>
      <c r="B179" s="14" t="s">
        <v>40</v>
      </c>
      <c r="C179" s="15" t="s">
        <v>35</v>
      </c>
      <c r="D179" s="15" t="s">
        <v>36</v>
      </c>
      <c r="E179" s="15"/>
      <c r="F179" s="15"/>
      <c r="G179" s="15"/>
      <c r="H179" s="15"/>
      <c r="I179" s="15"/>
      <c r="J179" s="15"/>
      <c r="K179" s="15" t="s">
        <v>37</v>
      </c>
      <c r="L179" s="16">
        <v>44956</v>
      </c>
      <c r="M179" s="17">
        <v>45687</v>
      </c>
      <c r="N179" s="39"/>
      <c r="O179" s="25">
        <v>225</v>
      </c>
      <c r="P179" s="18"/>
      <c r="Q179" s="47"/>
      <c r="R179" s="15"/>
      <c r="S179" s="15"/>
    </row>
    <row r="180" spans="1:19" s="3" customFormat="1" ht="29.25" customHeight="1" x14ac:dyDescent="0.25">
      <c r="A180" s="13">
        <v>2</v>
      </c>
      <c r="B180" s="14" t="s">
        <v>32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38"/>
      <c r="O180" s="25"/>
      <c r="P180" s="15"/>
      <c r="Q180" s="47"/>
      <c r="R180" s="15"/>
      <c r="S180" s="15"/>
    </row>
    <row r="181" spans="1:19" s="3" customFormat="1" ht="29.25" customHeight="1" x14ac:dyDescent="0.25">
      <c r="A181" s="13">
        <v>3</v>
      </c>
      <c r="B181" s="14" t="s">
        <v>33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7">
        <v>46052</v>
      </c>
      <c r="N181" s="39"/>
      <c r="O181" s="25"/>
      <c r="P181" s="15"/>
      <c r="Q181" s="47"/>
      <c r="R181" s="15"/>
      <c r="S181" s="15"/>
    </row>
    <row r="182" spans="1:19" s="3" customFormat="1" ht="29.25" customHeight="1" x14ac:dyDescent="0.25">
      <c r="A182" s="13">
        <v>4</v>
      </c>
      <c r="B182" s="14" t="s">
        <v>34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38"/>
      <c r="O182" s="25"/>
      <c r="P182" s="15"/>
      <c r="Q182" s="47"/>
      <c r="R182" s="15"/>
      <c r="S182" s="15"/>
    </row>
    <row r="183" spans="1:19" s="3" customFormat="1" ht="29.25" customHeight="1" x14ac:dyDescent="0.25">
      <c r="A183" s="13">
        <v>5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38"/>
      <c r="O183" s="25"/>
      <c r="P183" s="15"/>
      <c r="Q183" s="47"/>
      <c r="R183" s="15"/>
      <c r="S183" s="15"/>
    </row>
    <row r="184" spans="1:19" s="3" customFormat="1" ht="29.25" customHeight="1" x14ac:dyDescent="0.25">
      <c r="A184" s="13">
        <v>6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38"/>
      <c r="O184" s="25"/>
      <c r="P184" s="15"/>
      <c r="Q184" s="47"/>
      <c r="R184" s="15"/>
      <c r="S184" s="15"/>
    </row>
    <row r="185" spans="1:19" s="3" customFormat="1" ht="29.25" customHeight="1" x14ac:dyDescent="0.25">
      <c r="A185" s="13">
        <v>7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38"/>
      <c r="O185" s="25"/>
      <c r="P185" s="15"/>
      <c r="Q185" s="47"/>
      <c r="R185" s="15"/>
      <c r="S185" s="15"/>
    </row>
    <row r="186" spans="1:19" s="3" customFormat="1" ht="29.25" customHeight="1" x14ac:dyDescent="0.25">
      <c r="A186" s="13">
        <v>8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38"/>
      <c r="O186" s="45"/>
      <c r="P186" s="15"/>
      <c r="Q186" s="47"/>
      <c r="R186" s="15"/>
      <c r="S186" s="15"/>
    </row>
    <row r="187" spans="1:19" s="3" customFormat="1" ht="29.25" customHeight="1" x14ac:dyDescent="0.25">
      <c r="A187" s="13">
        <v>9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38"/>
      <c r="O187" s="45"/>
      <c r="P187" s="15"/>
      <c r="Q187" s="47"/>
      <c r="R187" s="15"/>
      <c r="S187" s="15"/>
    </row>
    <row r="188" spans="1:19" s="3" customFormat="1" ht="29.25" customHeight="1" x14ac:dyDescent="0.25">
      <c r="A188" s="13">
        <v>10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38"/>
      <c r="O188" s="45"/>
      <c r="P188" s="15"/>
      <c r="Q188" s="47"/>
      <c r="R188" s="15"/>
      <c r="S188" s="15"/>
    </row>
    <row r="189" spans="1:19" s="3" customFormat="1" ht="29.25" customHeight="1" x14ac:dyDescent="0.25">
      <c r="A189" s="13">
        <v>11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38"/>
      <c r="O189" s="45"/>
      <c r="P189" s="15"/>
      <c r="Q189" s="47"/>
      <c r="R189" s="15"/>
      <c r="S189" s="15"/>
    </row>
    <row r="190" spans="1:19" s="3" customFormat="1" ht="29.25" customHeight="1" x14ac:dyDescent="0.25">
      <c r="A190" s="13">
        <v>12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38"/>
      <c r="O190" s="45"/>
      <c r="P190" s="15"/>
      <c r="Q190" s="47"/>
      <c r="R190" s="15"/>
      <c r="S190" s="15"/>
    </row>
    <row r="191" spans="1:19" s="3" customFormat="1" ht="29.25" customHeight="1" x14ac:dyDescent="0.25">
      <c r="A191" s="13">
        <v>13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38"/>
      <c r="O191" s="45"/>
      <c r="P191" s="15"/>
      <c r="Q191" s="47"/>
      <c r="R191" s="15"/>
      <c r="S191" s="15"/>
    </row>
    <row r="192" spans="1:19" s="3" customFormat="1" ht="29.25" customHeight="1" x14ac:dyDescent="0.25">
      <c r="A192" s="13">
        <v>14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38"/>
      <c r="O192" s="45"/>
      <c r="P192" s="15"/>
      <c r="Q192" s="47"/>
      <c r="R192" s="15"/>
      <c r="S192" s="15"/>
    </row>
    <row r="193" spans="1:19" s="3" customFormat="1" ht="29.25" customHeight="1" x14ac:dyDescent="0.25">
      <c r="A193" s="13">
        <v>15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38"/>
      <c r="O193" s="45"/>
      <c r="P193" s="15"/>
      <c r="Q193" s="47"/>
      <c r="R193" s="15"/>
      <c r="S193" s="15"/>
    </row>
    <row r="194" spans="1:19" s="3" customFormat="1" ht="29.25" customHeight="1" x14ac:dyDescent="0.25">
      <c r="A194" s="13">
        <v>16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38"/>
      <c r="O194" s="45"/>
      <c r="P194" s="15"/>
      <c r="Q194" s="47"/>
      <c r="R194" s="15"/>
      <c r="S194" s="15"/>
    </row>
    <row r="195" spans="1:19" s="3" customFormat="1" ht="29.25" customHeight="1" x14ac:dyDescent="0.25">
      <c r="A195" s="13">
        <v>17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38"/>
      <c r="O195" s="45"/>
      <c r="P195" s="15"/>
      <c r="Q195" s="47"/>
      <c r="R195" s="15"/>
      <c r="S195" s="15"/>
    </row>
    <row r="196" spans="1:19" s="3" customFormat="1" ht="29.25" customHeight="1" x14ac:dyDescent="0.25">
      <c r="A196" s="13">
        <v>18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38"/>
      <c r="O196" s="45"/>
      <c r="P196" s="15"/>
      <c r="Q196" s="47"/>
      <c r="R196" s="15"/>
      <c r="S196" s="15"/>
    </row>
    <row r="197" spans="1:19" s="3" customFormat="1" ht="29.25" customHeight="1" x14ac:dyDescent="0.25">
      <c r="A197" s="13">
        <v>19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38"/>
      <c r="O197" s="45"/>
      <c r="P197" s="15"/>
      <c r="Q197" s="47"/>
      <c r="R197" s="15"/>
      <c r="S197" s="15"/>
    </row>
    <row r="198" spans="1:19" s="3" customFormat="1" ht="29.25" customHeight="1" x14ac:dyDescent="0.25">
      <c r="A198" s="13">
        <v>20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38"/>
      <c r="O198" s="45"/>
      <c r="P198" s="15"/>
      <c r="Q198" s="47"/>
      <c r="R198" s="15"/>
      <c r="S198" s="15"/>
    </row>
    <row r="199" spans="1:19" s="3" customFormat="1" ht="29.25" customHeight="1" x14ac:dyDescent="0.25">
      <c r="A199" s="13">
        <v>21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38"/>
      <c r="O199" s="45"/>
      <c r="P199" s="15"/>
      <c r="Q199" s="47"/>
      <c r="R199" s="15"/>
      <c r="S199" s="15"/>
    </row>
    <row r="200" spans="1:19" s="3" customFormat="1" ht="29.25" customHeight="1" x14ac:dyDescent="0.25">
      <c r="A200" s="13">
        <v>22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38"/>
      <c r="O200" s="45"/>
      <c r="P200" s="15"/>
      <c r="Q200" s="47"/>
      <c r="R200" s="15"/>
      <c r="S200" s="15"/>
    </row>
    <row r="201" spans="1:19" s="3" customFormat="1" ht="29.25" customHeight="1" x14ac:dyDescent="0.25">
      <c r="A201" s="13">
        <v>23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38"/>
      <c r="O201" s="45"/>
      <c r="P201" s="15"/>
      <c r="Q201" s="47"/>
      <c r="R201" s="15"/>
      <c r="S201" s="15"/>
    </row>
    <row r="202" spans="1:19" s="3" customFormat="1" ht="29.25" customHeight="1" x14ac:dyDescent="0.25">
      <c r="A202" s="13">
        <v>24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38"/>
      <c r="O202" s="45"/>
      <c r="P202" s="15"/>
      <c r="Q202" s="47"/>
      <c r="R202" s="15"/>
      <c r="S202" s="15"/>
    </row>
    <row r="203" spans="1:19" s="3" customFormat="1" ht="29.25" customHeight="1" x14ac:dyDescent="0.25">
      <c r="A203" s="13">
        <v>25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38"/>
      <c r="O203" s="45"/>
      <c r="P203" s="15"/>
      <c r="Q203" s="47"/>
      <c r="R203" s="15"/>
      <c r="S203" s="15"/>
    </row>
    <row r="204" spans="1:19" s="3" customFormat="1" ht="29.25" customHeight="1" x14ac:dyDescent="0.25">
      <c r="A204" s="13">
        <v>26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38"/>
      <c r="O204" s="45"/>
      <c r="P204" s="15"/>
      <c r="Q204" s="47"/>
      <c r="R204" s="15"/>
      <c r="S204" s="15"/>
    </row>
    <row r="205" spans="1:19" s="3" customFormat="1" ht="29.25" customHeight="1" x14ac:dyDescent="0.25">
      <c r="A205" s="13">
        <v>27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38"/>
      <c r="O205" s="45"/>
      <c r="P205" s="15"/>
      <c r="Q205" s="47"/>
      <c r="R205" s="15"/>
      <c r="S205" s="15"/>
    </row>
    <row r="206" spans="1:19" s="3" customFormat="1" ht="29.25" customHeight="1" x14ac:dyDescent="0.25">
      <c r="A206" s="13">
        <v>28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38"/>
      <c r="O206" s="45"/>
      <c r="P206" s="15"/>
      <c r="Q206" s="47"/>
      <c r="R206" s="15"/>
      <c r="S206" s="15"/>
    </row>
    <row r="207" spans="1:19" s="3" customFormat="1" ht="29.25" customHeight="1" x14ac:dyDescent="0.25">
      <c r="A207" s="13">
        <v>29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38"/>
      <c r="O207" s="45"/>
      <c r="P207" s="15"/>
      <c r="Q207" s="47"/>
      <c r="R207" s="15"/>
      <c r="S207" s="15"/>
    </row>
    <row r="208" spans="1:19" s="3" customFormat="1" ht="29.25" customHeight="1" x14ac:dyDescent="0.25">
      <c r="A208" s="13">
        <v>30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38"/>
      <c r="O208" s="45"/>
      <c r="P208" s="15"/>
      <c r="Q208" s="47"/>
      <c r="R208" s="15"/>
      <c r="S208" s="15"/>
    </row>
    <row r="209" spans="1:19" s="3" customFormat="1" ht="29.25" customHeight="1" x14ac:dyDescent="0.25">
      <c r="A209" s="13">
        <v>31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38"/>
      <c r="O209" s="45"/>
      <c r="P209" s="15"/>
      <c r="Q209" s="47"/>
      <c r="R209" s="15"/>
      <c r="S209" s="15"/>
    </row>
    <row r="210" spans="1:19" s="3" customFormat="1" ht="29.25" customHeight="1" x14ac:dyDescent="0.25">
      <c r="A210" s="13">
        <v>32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38"/>
      <c r="O210" s="45"/>
      <c r="P210" s="15"/>
      <c r="Q210" s="47"/>
      <c r="R210" s="15"/>
      <c r="S210" s="15"/>
    </row>
    <row r="211" spans="1:19" s="3" customFormat="1" ht="29.25" customHeight="1" x14ac:dyDescent="0.25">
      <c r="A211" s="13">
        <v>33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38"/>
      <c r="O211" s="45"/>
      <c r="P211" s="15"/>
      <c r="Q211" s="47"/>
      <c r="R211" s="15"/>
      <c r="S211" s="15"/>
    </row>
    <row r="212" spans="1:19" s="3" customFormat="1" ht="29.25" customHeight="1" x14ac:dyDescent="0.25">
      <c r="A212" s="13">
        <v>34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38"/>
      <c r="O212" s="45"/>
      <c r="P212" s="15"/>
      <c r="Q212" s="47"/>
      <c r="R212" s="15"/>
      <c r="S212" s="15"/>
    </row>
    <row r="213" spans="1:19" s="3" customFormat="1" ht="29.25" customHeight="1" x14ac:dyDescent="0.25">
      <c r="A213" s="13">
        <v>35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38"/>
      <c r="O213" s="45"/>
      <c r="P213" s="15"/>
      <c r="Q213" s="47"/>
      <c r="R213" s="15"/>
      <c r="S213" s="15"/>
    </row>
    <row r="214" spans="1:19" s="3" customFormat="1" ht="29.25" customHeight="1" x14ac:dyDescent="0.25">
      <c r="A214" s="13">
        <v>36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38"/>
      <c r="O214" s="45"/>
      <c r="P214" s="15"/>
      <c r="Q214" s="47"/>
      <c r="R214" s="15"/>
      <c r="S214" s="15"/>
    </row>
    <row r="215" spans="1:19" s="3" customFormat="1" ht="29.25" customHeight="1" x14ac:dyDescent="0.25">
      <c r="A215" s="13">
        <v>37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38"/>
      <c r="O215" s="45"/>
      <c r="P215" s="15"/>
      <c r="Q215" s="47"/>
      <c r="R215" s="15"/>
      <c r="S215" s="15"/>
    </row>
    <row r="216" spans="1:19" s="3" customFormat="1" ht="29.25" customHeight="1" x14ac:dyDescent="0.25">
      <c r="A216" s="13">
        <v>38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38"/>
      <c r="O216" s="45"/>
      <c r="P216" s="15"/>
      <c r="Q216" s="47"/>
      <c r="R216" s="15"/>
      <c r="S216" s="15"/>
    </row>
    <row r="217" spans="1:19" s="3" customFormat="1" ht="29.25" customHeight="1" x14ac:dyDescent="0.25">
      <c r="A217" s="13">
        <v>39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38"/>
      <c r="O217" s="45"/>
      <c r="P217" s="15"/>
      <c r="Q217" s="47"/>
      <c r="R217" s="15"/>
      <c r="S217" s="15"/>
    </row>
    <row r="218" spans="1:19" s="3" customFormat="1" ht="29.25" customHeight="1" x14ac:dyDescent="0.25">
      <c r="A218" s="13">
        <v>40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38"/>
      <c r="O218" s="45"/>
      <c r="P218" s="15"/>
      <c r="Q218" s="47"/>
      <c r="R218" s="15"/>
      <c r="S218" s="15"/>
    </row>
    <row r="219" spans="1:19" s="3" customFormat="1" ht="29.25" customHeight="1" x14ac:dyDescent="0.25">
      <c r="A219" s="13">
        <v>41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38"/>
      <c r="O219" s="45"/>
      <c r="P219" s="15"/>
      <c r="Q219" s="47"/>
      <c r="R219" s="15"/>
      <c r="S219" s="15"/>
    </row>
    <row r="220" spans="1:19" s="3" customFormat="1" ht="29.25" customHeight="1" x14ac:dyDescent="0.25">
      <c r="A220" s="13">
        <v>42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38"/>
      <c r="O220" s="45"/>
      <c r="P220" s="15"/>
      <c r="Q220" s="47"/>
      <c r="R220" s="15"/>
      <c r="S220" s="15"/>
    </row>
    <row r="221" spans="1:19" s="3" customFormat="1" ht="29.25" customHeight="1" x14ac:dyDescent="0.25">
      <c r="A221" s="13">
        <v>43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38"/>
      <c r="O221" s="46"/>
      <c r="P221" s="15"/>
      <c r="Q221" s="47"/>
      <c r="R221" s="15"/>
      <c r="S221" s="15"/>
    </row>
    <row r="222" spans="1:19" s="3" customFormat="1" ht="29.25" customHeight="1" x14ac:dyDescent="0.25">
      <c r="A222" s="13">
        <v>44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38"/>
      <c r="O222" s="46"/>
      <c r="P222" s="15"/>
      <c r="Q222" s="47"/>
      <c r="R222" s="15"/>
      <c r="S222" s="15"/>
    </row>
    <row r="223" spans="1:19" s="3" customFormat="1" ht="29.25" customHeight="1" x14ac:dyDescent="0.25">
      <c r="A223" s="13">
        <v>45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38"/>
      <c r="O223" s="46"/>
      <c r="P223" s="15"/>
      <c r="Q223" s="47"/>
      <c r="R223" s="15"/>
      <c r="S223" s="15"/>
    </row>
    <row r="224" spans="1:19" s="3" customFormat="1" ht="29.25" customHeight="1" x14ac:dyDescent="0.25">
      <c r="A224" s="13">
        <v>46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38"/>
      <c r="O224" s="46"/>
      <c r="P224" s="15"/>
      <c r="Q224" s="47"/>
      <c r="R224" s="15"/>
      <c r="S224" s="15"/>
    </row>
    <row r="225" spans="1:19" s="3" customFormat="1" ht="29.25" customHeight="1" x14ac:dyDescent="0.25">
      <c r="A225" s="13">
        <v>47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38"/>
      <c r="O225" s="46"/>
      <c r="P225" s="15"/>
      <c r="Q225" s="47"/>
      <c r="R225" s="15"/>
      <c r="S225" s="15"/>
    </row>
    <row r="226" spans="1:19" s="3" customFormat="1" ht="29.25" customHeight="1" x14ac:dyDescent="0.25">
      <c r="A226" s="13">
        <v>48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38"/>
      <c r="O226" s="15"/>
      <c r="P226" s="15"/>
      <c r="Q226" s="26"/>
      <c r="R226" s="15"/>
      <c r="S226" s="15"/>
    </row>
    <row r="227" spans="1:19" s="3" customFormat="1" ht="29.25" customHeight="1" x14ac:dyDescent="0.25">
      <c r="A227" s="13">
        <v>49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38"/>
      <c r="O227" s="15"/>
      <c r="P227" s="15"/>
      <c r="Q227" s="26"/>
      <c r="R227" s="15"/>
      <c r="S227" s="15"/>
    </row>
    <row r="228" spans="1:19" s="3" customFormat="1" ht="29.25" customHeight="1" x14ac:dyDescent="0.25">
      <c r="A228" s="13">
        <v>50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38"/>
      <c r="O228" s="15"/>
      <c r="P228" s="15"/>
      <c r="Q228" s="26"/>
      <c r="R228" s="15"/>
      <c r="S228" s="15"/>
    </row>
    <row r="229" spans="1:19" ht="15.7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40"/>
      <c r="O229" s="9"/>
      <c r="P229" s="9"/>
      <c r="Q229" s="26"/>
      <c r="R229" s="9"/>
      <c r="S229" s="9"/>
    </row>
  </sheetData>
  <printOptions horizontalCentered="1"/>
  <pageMargins left="0.51181102362204722" right="0.51181102362204722" top="0.55118110236220474" bottom="0.55118110236220474" header="0.31496062992125984" footer="0.31496062992125984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8:Z77"/>
  <sheetViews>
    <sheetView topLeftCell="A22" zoomScale="130" zoomScaleNormal="130" workbookViewId="0">
      <selection activeCell="E27" sqref="E27"/>
    </sheetView>
  </sheetViews>
  <sheetFormatPr baseColWidth="10" defaultRowHeight="18.75" x14ac:dyDescent="0.3"/>
  <cols>
    <col min="1" max="1" width="5.140625" style="49" customWidth="1"/>
    <col min="2" max="2" width="8" style="50" customWidth="1"/>
    <col min="3" max="3" width="7.85546875" style="50" customWidth="1"/>
    <col min="4" max="4" width="6.7109375" style="50" customWidth="1"/>
    <col min="5" max="5" width="31.140625" style="113" customWidth="1"/>
    <col min="6" max="6" width="14.5703125" style="113" customWidth="1"/>
    <col min="7" max="18" width="9.28515625" style="113" customWidth="1"/>
    <col min="19" max="20" width="13.140625" style="113" customWidth="1"/>
    <col min="21" max="21" width="11.140625" style="113" customWidth="1"/>
    <col min="22" max="22" width="19" style="113" customWidth="1"/>
    <col min="23" max="23" width="14" style="113" customWidth="1"/>
    <col min="24" max="24" width="30.85546875" style="113" customWidth="1"/>
    <col min="25" max="16384" width="11.42578125" style="50"/>
  </cols>
  <sheetData>
    <row r="8" spans="1:24" ht="22.5" customHeight="1" x14ac:dyDescent="0.3">
      <c r="B8" s="120" t="s">
        <v>184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</row>
    <row r="9" spans="1:24" ht="18.75" customHeight="1" x14ac:dyDescent="0.3">
      <c r="B9" s="120" t="s">
        <v>185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</row>
    <row r="10" spans="1:24" ht="11.25" customHeight="1" thickBot="1" x14ac:dyDescent="0.35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1:24" ht="56.25" customHeight="1" thickBot="1" x14ac:dyDescent="0.35">
      <c r="A11" s="52" t="s">
        <v>186</v>
      </c>
      <c r="B11" s="53" t="s">
        <v>187</v>
      </c>
      <c r="C11" s="53" t="s">
        <v>188</v>
      </c>
      <c r="D11" s="53" t="s">
        <v>189</v>
      </c>
      <c r="E11" s="54" t="s">
        <v>190</v>
      </c>
      <c r="F11" s="55" t="s">
        <v>191</v>
      </c>
      <c r="G11" s="56">
        <v>46023</v>
      </c>
      <c r="H11" s="56">
        <v>46054</v>
      </c>
      <c r="I11" s="56">
        <v>46082</v>
      </c>
      <c r="J11" s="56">
        <v>46113</v>
      </c>
      <c r="K11" s="56">
        <v>46143</v>
      </c>
      <c r="L11" s="56">
        <v>46174</v>
      </c>
      <c r="M11" s="56">
        <v>46204</v>
      </c>
      <c r="N11" s="56">
        <v>46235</v>
      </c>
      <c r="O11" s="56">
        <v>46266</v>
      </c>
      <c r="P11" s="56">
        <v>46296</v>
      </c>
      <c r="Q11" s="56">
        <v>46327</v>
      </c>
      <c r="R11" s="56">
        <v>46357</v>
      </c>
      <c r="S11" s="55" t="s">
        <v>192</v>
      </c>
      <c r="T11" s="57" t="s">
        <v>193</v>
      </c>
      <c r="U11" s="57" t="s">
        <v>194</v>
      </c>
      <c r="V11" s="57" t="s">
        <v>195</v>
      </c>
      <c r="W11" s="58" t="s">
        <v>12</v>
      </c>
      <c r="X11" s="54" t="s">
        <v>196</v>
      </c>
    </row>
    <row r="12" spans="1:24" s="70" customFormat="1" ht="39.75" customHeight="1" x14ac:dyDescent="0.25">
      <c r="A12" s="59">
        <v>1</v>
      </c>
      <c r="B12" s="121" t="s">
        <v>197</v>
      </c>
      <c r="C12" s="124" t="s">
        <v>198</v>
      </c>
      <c r="D12" s="60" t="s">
        <v>199</v>
      </c>
      <c r="E12" s="114" t="s">
        <v>200</v>
      </c>
      <c r="F12" s="61">
        <v>3000</v>
      </c>
      <c r="G12" s="62"/>
      <c r="H12" s="62"/>
      <c r="I12" s="62"/>
      <c r="J12" s="63"/>
      <c r="K12" s="63"/>
      <c r="L12" s="63"/>
      <c r="M12" s="63"/>
      <c r="N12" s="63"/>
      <c r="O12" s="63"/>
      <c r="P12" s="63"/>
      <c r="Q12" s="63"/>
      <c r="R12" s="63"/>
      <c r="S12" s="64">
        <f>+F12*12</f>
        <v>36000</v>
      </c>
      <c r="T12" s="65">
        <f>SUM(G12:R12)</f>
        <v>0</v>
      </c>
      <c r="U12" s="66">
        <f>+S12-T12</f>
        <v>36000</v>
      </c>
      <c r="V12" s="67" t="s">
        <v>201</v>
      </c>
      <c r="W12" s="68" t="s">
        <v>202</v>
      </c>
      <c r="X12" s="69" t="s">
        <v>203</v>
      </c>
    </row>
    <row r="13" spans="1:24" s="70" customFormat="1" ht="39.75" customHeight="1" x14ac:dyDescent="0.25">
      <c r="A13" s="71">
        <f>+A12+1</f>
        <v>2</v>
      </c>
      <c r="B13" s="122"/>
      <c r="C13" s="125"/>
      <c r="D13" s="72" t="s">
        <v>204</v>
      </c>
      <c r="E13" s="115" t="s">
        <v>205</v>
      </c>
      <c r="F13" s="73">
        <v>3000</v>
      </c>
      <c r="G13" s="62">
        <v>2000</v>
      </c>
      <c r="H13" s="62"/>
      <c r="I13" s="62"/>
      <c r="J13" s="62"/>
      <c r="K13" s="62"/>
      <c r="L13" s="62"/>
      <c r="M13" s="63"/>
      <c r="N13" s="63"/>
      <c r="O13" s="63"/>
      <c r="P13" s="63"/>
      <c r="Q13" s="63"/>
      <c r="R13" s="63"/>
      <c r="S13" s="64">
        <f>+F13*6</f>
        <v>18000</v>
      </c>
      <c r="T13" s="74">
        <f>SUM(M13:R13)</f>
        <v>0</v>
      </c>
      <c r="U13" s="75">
        <f>+S13-T13</f>
        <v>18000</v>
      </c>
      <c r="V13" s="76" t="s">
        <v>201</v>
      </c>
      <c r="W13" s="77" t="s">
        <v>206</v>
      </c>
      <c r="X13" s="78" t="s">
        <v>203</v>
      </c>
    </row>
    <row r="14" spans="1:24" s="70" customFormat="1" ht="39.75" customHeight="1" x14ac:dyDescent="0.25">
      <c r="A14" s="79">
        <f>+A13+1</f>
        <v>3</v>
      </c>
      <c r="B14" s="122"/>
      <c r="C14" s="125"/>
      <c r="D14" s="72" t="s">
        <v>207</v>
      </c>
      <c r="E14" s="116" t="s">
        <v>208</v>
      </c>
      <c r="F14" s="73">
        <v>3000</v>
      </c>
      <c r="G14" s="62">
        <v>3000</v>
      </c>
      <c r="H14" s="62">
        <v>3000</v>
      </c>
      <c r="I14" s="62">
        <v>2000</v>
      </c>
      <c r="J14" s="62"/>
      <c r="K14" s="62"/>
      <c r="L14" s="62"/>
      <c r="M14" s="62"/>
      <c r="N14" s="62"/>
      <c r="O14" s="62"/>
      <c r="P14" s="62"/>
      <c r="Q14" s="62"/>
      <c r="R14" s="62"/>
      <c r="S14" s="81">
        <f t="shared" ref="S14:S45" si="0">+F14*12</f>
        <v>36000</v>
      </c>
      <c r="T14" s="74">
        <f t="shared" ref="T14:T28" si="1">SUM(G14:R14)</f>
        <v>8000</v>
      </c>
      <c r="U14" s="75">
        <f>+S14-T14</f>
        <v>28000</v>
      </c>
      <c r="V14" s="76" t="s">
        <v>201</v>
      </c>
      <c r="W14" s="82" t="s">
        <v>61</v>
      </c>
      <c r="X14" s="78" t="s">
        <v>203</v>
      </c>
    </row>
    <row r="15" spans="1:24" s="70" customFormat="1" ht="39.75" customHeight="1" x14ac:dyDescent="0.25">
      <c r="A15" s="71">
        <f>+A14+1</f>
        <v>4</v>
      </c>
      <c r="B15" s="122"/>
      <c r="C15" s="125"/>
      <c r="D15" s="72" t="s">
        <v>209</v>
      </c>
      <c r="E15" s="116" t="s">
        <v>80</v>
      </c>
      <c r="F15" s="73">
        <v>2000</v>
      </c>
      <c r="G15" s="83"/>
      <c r="H15" s="83"/>
      <c r="I15" s="83"/>
      <c r="J15" s="83"/>
      <c r="K15" s="83"/>
      <c r="L15" s="62">
        <v>2000</v>
      </c>
      <c r="M15" s="62">
        <v>2000</v>
      </c>
      <c r="N15" s="62">
        <v>2000</v>
      </c>
      <c r="O15" s="62"/>
      <c r="P15" s="62"/>
      <c r="Q15" s="62"/>
      <c r="R15" s="62"/>
      <c r="S15" s="81">
        <f>+F15*7</f>
        <v>14000</v>
      </c>
      <c r="T15" s="74">
        <f>SUM(G15:R15)</f>
        <v>6000</v>
      </c>
      <c r="U15" s="75">
        <f t="shared" ref="U15:U51" si="2">+S15-T15</f>
        <v>8000</v>
      </c>
      <c r="V15" s="76" t="s">
        <v>201</v>
      </c>
      <c r="W15" s="84" t="s">
        <v>73</v>
      </c>
      <c r="X15" s="78" t="s">
        <v>203</v>
      </c>
    </row>
    <row r="16" spans="1:24" s="70" customFormat="1" ht="34.5" customHeight="1" x14ac:dyDescent="0.25">
      <c r="A16" s="79">
        <f>+A15+1</f>
        <v>5</v>
      </c>
      <c r="B16" s="122"/>
      <c r="C16" s="125"/>
      <c r="D16" s="72" t="s">
        <v>210</v>
      </c>
      <c r="E16" s="116" t="s">
        <v>62</v>
      </c>
      <c r="F16" s="73">
        <v>2000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81">
        <f>+F16*12</f>
        <v>24000</v>
      </c>
      <c r="T16" s="74">
        <f t="shared" si="1"/>
        <v>0</v>
      </c>
      <c r="U16" s="75">
        <f t="shared" si="2"/>
        <v>24000</v>
      </c>
      <c r="V16" s="76" t="s">
        <v>201</v>
      </c>
      <c r="W16" s="85" t="s">
        <v>211</v>
      </c>
      <c r="X16" s="78" t="s">
        <v>203</v>
      </c>
    </row>
    <row r="17" spans="1:24" s="70" customFormat="1" ht="34.5" customHeight="1" x14ac:dyDescent="0.25">
      <c r="A17" s="79">
        <f>+A16+1</f>
        <v>6</v>
      </c>
      <c r="B17" s="122"/>
      <c r="C17" s="125"/>
      <c r="D17" s="72" t="s">
        <v>212</v>
      </c>
      <c r="E17" s="116" t="s">
        <v>63</v>
      </c>
      <c r="F17" s="73">
        <v>2000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81">
        <f>+F17*12</f>
        <v>24000</v>
      </c>
      <c r="T17" s="74">
        <f>SUM(G17:R17)</f>
        <v>0</v>
      </c>
      <c r="U17" s="75">
        <f t="shared" si="2"/>
        <v>24000</v>
      </c>
      <c r="V17" s="76" t="s">
        <v>201</v>
      </c>
      <c r="W17" s="85" t="s">
        <v>213</v>
      </c>
      <c r="X17" s="78" t="s">
        <v>214</v>
      </c>
    </row>
    <row r="18" spans="1:24" s="70" customFormat="1" ht="20.25" customHeight="1" x14ac:dyDescent="0.25">
      <c r="A18" s="86"/>
      <c r="B18" s="122"/>
      <c r="C18" s="126"/>
      <c r="D18" s="72" t="s">
        <v>215</v>
      </c>
      <c r="E18" s="80"/>
      <c r="F18" s="73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81">
        <f>+F18*5</f>
        <v>0</v>
      </c>
      <c r="T18" s="74">
        <f>SUM(G18:R18)</f>
        <v>0</v>
      </c>
      <c r="U18" s="75">
        <f t="shared" si="2"/>
        <v>0</v>
      </c>
      <c r="V18" s="76"/>
      <c r="W18" s="85"/>
      <c r="X18" s="78"/>
    </row>
    <row r="19" spans="1:24" s="70" customFormat="1" ht="35.25" customHeight="1" x14ac:dyDescent="0.25">
      <c r="A19" s="79">
        <f>+A17+1</f>
        <v>7</v>
      </c>
      <c r="B19" s="122"/>
      <c r="C19" s="127" t="s">
        <v>216</v>
      </c>
      <c r="D19" s="72" t="s">
        <v>217</v>
      </c>
      <c r="E19" s="116" t="s">
        <v>218</v>
      </c>
      <c r="F19" s="73">
        <v>3000</v>
      </c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81">
        <f t="shared" si="0"/>
        <v>36000</v>
      </c>
      <c r="T19" s="74">
        <f t="shared" si="1"/>
        <v>0</v>
      </c>
      <c r="U19" s="75">
        <f t="shared" si="2"/>
        <v>36000</v>
      </c>
      <c r="V19" s="76" t="s">
        <v>201</v>
      </c>
      <c r="W19" s="82" t="s">
        <v>219</v>
      </c>
      <c r="X19" s="87" t="s">
        <v>220</v>
      </c>
    </row>
    <row r="20" spans="1:24" s="70" customFormat="1" ht="29.25" customHeight="1" x14ac:dyDescent="0.25">
      <c r="A20" s="79">
        <f t="shared" ref="A20:A24" si="3">+A19+1</f>
        <v>8</v>
      </c>
      <c r="B20" s="122"/>
      <c r="C20" s="125"/>
      <c r="D20" s="72" t="s">
        <v>221</v>
      </c>
      <c r="E20" s="116" t="s">
        <v>222</v>
      </c>
      <c r="F20" s="73">
        <v>3000</v>
      </c>
      <c r="G20" s="62">
        <v>2000</v>
      </c>
      <c r="H20" s="62">
        <v>2000</v>
      </c>
      <c r="I20" s="62">
        <v>2000</v>
      </c>
      <c r="J20" s="62"/>
      <c r="K20" s="62"/>
      <c r="L20" s="62"/>
      <c r="M20" s="62"/>
      <c r="N20" s="62"/>
      <c r="O20" s="62"/>
      <c r="P20" s="62"/>
      <c r="Q20" s="62"/>
      <c r="R20" s="62"/>
      <c r="S20" s="81">
        <f t="shared" si="0"/>
        <v>36000</v>
      </c>
      <c r="T20" s="74">
        <f t="shared" si="1"/>
        <v>6000</v>
      </c>
      <c r="U20" s="75">
        <f t="shared" si="2"/>
        <v>30000</v>
      </c>
      <c r="V20" s="76" t="s">
        <v>201</v>
      </c>
      <c r="W20" s="85" t="s">
        <v>223</v>
      </c>
      <c r="X20" s="78" t="s">
        <v>224</v>
      </c>
    </row>
    <row r="21" spans="1:24" s="70" customFormat="1" ht="39.75" customHeight="1" x14ac:dyDescent="0.25">
      <c r="A21" s="79">
        <f t="shared" si="3"/>
        <v>9</v>
      </c>
      <c r="B21" s="122"/>
      <c r="C21" s="125"/>
      <c r="D21" s="72" t="s">
        <v>225</v>
      </c>
      <c r="E21" s="116" t="s">
        <v>226</v>
      </c>
      <c r="F21" s="73">
        <v>2000</v>
      </c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81">
        <f t="shared" si="0"/>
        <v>24000</v>
      </c>
      <c r="T21" s="74">
        <f>SUM(G21:R21)</f>
        <v>0</v>
      </c>
      <c r="U21" s="75">
        <f t="shared" si="2"/>
        <v>24000</v>
      </c>
      <c r="V21" s="76" t="s">
        <v>201</v>
      </c>
      <c r="W21" s="85" t="s">
        <v>181</v>
      </c>
      <c r="X21" s="78" t="s">
        <v>35</v>
      </c>
    </row>
    <row r="22" spans="1:24" s="70" customFormat="1" ht="39.75" customHeight="1" x14ac:dyDescent="0.25">
      <c r="A22" s="79">
        <f t="shared" si="3"/>
        <v>10</v>
      </c>
      <c r="B22" s="122"/>
      <c r="C22" s="125"/>
      <c r="D22" s="72" t="s">
        <v>227</v>
      </c>
      <c r="E22" s="116" t="s">
        <v>144</v>
      </c>
      <c r="F22" s="73">
        <v>3000</v>
      </c>
      <c r="G22" s="62">
        <v>3000</v>
      </c>
      <c r="H22" s="62">
        <v>3000</v>
      </c>
      <c r="I22" s="62">
        <v>3000</v>
      </c>
      <c r="J22" s="62">
        <v>3000</v>
      </c>
      <c r="K22" s="62">
        <v>3000</v>
      </c>
      <c r="L22" s="62">
        <v>3000</v>
      </c>
      <c r="M22" s="62"/>
      <c r="N22" s="62"/>
      <c r="O22" s="62"/>
      <c r="P22" s="62"/>
      <c r="Q22" s="62"/>
      <c r="R22" s="62"/>
      <c r="S22" s="81">
        <f t="shared" si="0"/>
        <v>36000</v>
      </c>
      <c r="T22" s="74">
        <f>SUM(G22:R22)</f>
        <v>18000</v>
      </c>
      <c r="U22" s="75">
        <f t="shared" si="2"/>
        <v>18000</v>
      </c>
      <c r="V22" s="76" t="s">
        <v>201</v>
      </c>
      <c r="W22" s="82" t="s">
        <v>228</v>
      </c>
      <c r="X22" s="87" t="s">
        <v>220</v>
      </c>
    </row>
    <row r="23" spans="1:24" s="70" customFormat="1" ht="39.75" customHeight="1" x14ac:dyDescent="0.25">
      <c r="A23" s="79">
        <f t="shared" si="3"/>
        <v>11</v>
      </c>
      <c r="B23" s="122"/>
      <c r="C23" s="126"/>
      <c r="D23" s="72" t="s">
        <v>229</v>
      </c>
      <c r="E23" s="80" t="s">
        <v>155</v>
      </c>
      <c r="F23" s="73">
        <v>3000</v>
      </c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81">
        <f t="shared" si="0"/>
        <v>36000</v>
      </c>
      <c r="T23" s="74">
        <f>SUM(G23:R23)</f>
        <v>0</v>
      </c>
      <c r="U23" s="75">
        <f t="shared" si="2"/>
        <v>36000</v>
      </c>
      <c r="V23" s="76" t="s">
        <v>201</v>
      </c>
      <c r="W23" s="85" t="s">
        <v>156</v>
      </c>
      <c r="X23" s="87" t="s">
        <v>220</v>
      </c>
    </row>
    <row r="24" spans="1:24" s="70" customFormat="1" ht="39.75" customHeight="1" x14ac:dyDescent="0.25">
      <c r="A24" s="79">
        <f t="shared" si="3"/>
        <v>12</v>
      </c>
      <c r="B24" s="122"/>
      <c r="C24" s="127" t="s">
        <v>230</v>
      </c>
      <c r="D24" s="72" t="s">
        <v>231</v>
      </c>
      <c r="E24" s="116" t="s">
        <v>161</v>
      </c>
      <c r="F24" s="73">
        <v>3000</v>
      </c>
      <c r="G24" s="62">
        <v>3000</v>
      </c>
      <c r="H24" s="62">
        <v>3000</v>
      </c>
      <c r="I24" s="62">
        <v>3000</v>
      </c>
      <c r="J24" s="62">
        <v>3000</v>
      </c>
      <c r="K24" s="62">
        <v>3000</v>
      </c>
      <c r="L24" s="62">
        <v>3000</v>
      </c>
      <c r="M24" s="62"/>
      <c r="N24" s="62"/>
      <c r="O24" s="62"/>
      <c r="P24" s="62"/>
      <c r="Q24" s="62"/>
      <c r="R24" s="62"/>
      <c r="S24" s="81">
        <f t="shared" si="0"/>
        <v>36000</v>
      </c>
      <c r="T24" s="74">
        <f>SUM(G24:R24)</f>
        <v>18000</v>
      </c>
      <c r="U24" s="75">
        <f>+S24-T24</f>
        <v>18000</v>
      </c>
      <c r="V24" s="76" t="s">
        <v>201</v>
      </c>
      <c r="W24" s="85" t="s">
        <v>162</v>
      </c>
      <c r="X24" s="78" t="s">
        <v>232</v>
      </c>
    </row>
    <row r="25" spans="1:24" s="70" customFormat="1" ht="12.75" customHeight="1" x14ac:dyDescent="0.25">
      <c r="A25" s="86"/>
      <c r="B25" s="122"/>
      <c r="C25" s="125"/>
      <c r="D25" s="72"/>
      <c r="E25" s="88" t="s">
        <v>233</v>
      </c>
      <c r="F25" s="73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81">
        <f t="shared" si="0"/>
        <v>0</v>
      </c>
      <c r="T25" s="74">
        <f t="shared" si="1"/>
        <v>0</v>
      </c>
      <c r="U25" s="75">
        <f t="shared" si="2"/>
        <v>0</v>
      </c>
      <c r="V25" s="76"/>
      <c r="W25" s="82" t="s">
        <v>234</v>
      </c>
      <c r="X25" s="87" t="s">
        <v>235</v>
      </c>
    </row>
    <row r="26" spans="1:24" s="70" customFormat="1" ht="12.75" customHeight="1" x14ac:dyDescent="0.25">
      <c r="A26" s="86"/>
      <c r="B26" s="122"/>
      <c r="C26" s="126"/>
      <c r="D26" s="72"/>
      <c r="E26" s="88" t="s">
        <v>233</v>
      </c>
      <c r="F26" s="73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81">
        <f t="shared" si="0"/>
        <v>0</v>
      </c>
      <c r="T26" s="74">
        <f t="shared" si="1"/>
        <v>0</v>
      </c>
      <c r="U26" s="75">
        <f t="shared" si="2"/>
        <v>0</v>
      </c>
      <c r="V26" s="76"/>
      <c r="W26" s="82" t="s">
        <v>236</v>
      </c>
      <c r="X26" s="87" t="s">
        <v>237</v>
      </c>
    </row>
    <row r="27" spans="1:24" s="70" customFormat="1" ht="32.25" customHeight="1" x14ac:dyDescent="0.25">
      <c r="A27" s="79">
        <f>+A24+1</f>
        <v>13</v>
      </c>
      <c r="B27" s="122"/>
      <c r="C27" s="127" t="s">
        <v>238</v>
      </c>
      <c r="D27" s="72" t="s">
        <v>239</v>
      </c>
      <c r="E27" s="80" t="s">
        <v>240</v>
      </c>
      <c r="F27" s="73">
        <v>12000</v>
      </c>
      <c r="G27" s="62">
        <v>12000</v>
      </c>
      <c r="H27" s="62">
        <v>12000</v>
      </c>
      <c r="I27" s="62">
        <v>12000</v>
      </c>
      <c r="J27" s="62"/>
      <c r="K27" s="62"/>
      <c r="L27" s="62"/>
      <c r="M27" s="62"/>
      <c r="N27" s="62"/>
      <c r="O27" s="62"/>
      <c r="P27" s="62"/>
      <c r="Q27" s="62"/>
      <c r="R27" s="62"/>
      <c r="S27" s="81"/>
      <c r="T27" s="74"/>
      <c r="U27" s="75"/>
      <c r="V27" s="76"/>
      <c r="W27" s="82" t="s">
        <v>241</v>
      </c>
      <c r="X27" s="87"/>
    </row>
    <row r="28" spans="1:24" s="70" customFormat="1" ht="35.25" customHeight="1" x14ac:dyDescent="0.25">
      <c r="A28" s="79">
        <f>+A27+1</f>
        <v>14</v>
      </c>
      <c r="B28" s="122"/>
      <c r="C28" s="126"/>
      <c r="D28" s="72" t="s">
        <v>242</v>
      </c>
      <c r="E28" s="80" t="s">
        <v>243</v>
      </c>
      <c r="F28" s="73">
        <v>2000</v>
      </c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81">
        <f>+F28*5</f>
        <v>10000</v>
      </c>
      <c r="T28" s="74">
        <f t="shared" si="1"/>
        <v>0</v>
      </c>
      <c r="U28" s="75">
        <v>0</v>
      </c>
      <c r="V28" s="89"/>
      <c r="W28" s="85" t="s">
        <v>244</v>
      </c>
      <c r="X28" s="87" t="s">
        <v>245</v>
      </c>
    </row>
    <row r="29" spans="1:24" s="70" customFormat="1" ht="36" customHeight="1" x14ac:dyDescent="0.25">
      <c r="A29" s="79">
        <f t="shared" ref="A29:A30" si="4">+A28+1</f>
        <v>15</v>
      </c>
      <c r="B29" s="122"/>
      <c r="C29" s="90" t="s">
        <v>246</v>
      </c>
      <c r="D29" s="72" t="s">
        <v>247</v>
      </c>
      <c r="E29" s="80" t="s">
        <v>248</v>
      </c>
      <c r="F29" s="91">
        <v>12000</v>
      </c>
      <c r="G29" s="83"/>
      <c r="H29" s="62">
        <v>12000</v>
      </c>
      <c r="I29" s="62">
        <v>12000</v>
      </c>
      <c r="J29" s="62">
        <v>12000</v>
      </c>
      <c r="K29" s="62">
        <v>12000</v>
      </c>
      <c r="L29" s="62">
        <v>12000</v>
      </c>
      <c r="M29" s="62">
        <v>12000</v>
      </c>
      <c r="N29" s="62"/>
      <c r="O29" s="62"/>
      <c r="P29" s="62"/>
      <c r="Q29" s="62"/>
      <c r="R29" s="62"/>
      <c r="S29" s="81">
        <f t="shared" si="0"/>
        <v>144000</v>
      </c>
      <c r="T29" s="74">
        <v>0</v>
      </c>
      <c r="U29" s="75">
        <v>0</v>
      </c>
      <c r="V29" s="89"/>
      <c r="W29" s="85" t="s">
        <v>249</v>
      </c>
      <c r="X29" s="78"/>
    </row>
    <row r="30" spans="1:24" s="70" customFormat="1" ht="39.75" customHeight="1" x14ac:dyDescent="0.25">
      <c r="A30" s="79">
        <f t="shared" si="4"/>
        <v>16</v>
      </c>
      <c r="B30" s="122"/>
      <c r="C30" s="127" t="s">
        <v>250</v>
      </c>
      <c r="D30" s="72" t="s">
        <v>251</v>
      </c>
      <c r="E30" s="80" t="s">
        <v>252</v>
      </c>
      <c r="F30" s="73">
        <v>3000</v>
      </c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81">
        <f>+F30*6</f>
        <v>18000</v>
      </c>
      <c r="T30" s="74">
        <f t="shared" ref="T30:T51" si="5">SUM(G30:R30)</f>
        <v>0</v>
      </c>
      <c r="U30" s="75">
        <f>+S30-T30</f>
        <v>18000</v>
      </c>
      <c r="V30" s="76" t="s">
        <v>201</v>
      </c>
      <c r="W30" s="82" t="s">
        <v>253</v>
      </c>
      <c r="X30" s="87" t="s">
        <v>254</v>
      </c>
    </row>
    <row r="31" spans="1:24" s="70" customFormat="1" ht="39.75" customHeight="1" x14ac:dyDescent="0.25">
      <c r="A31" s="79">
        <f>+A30+1</f>
        <v>17</v>
      </c>
      <c r="B31" s="122"/>
      <c r="C31" s="125"/>
      <c r="D31" s="72" t="s">
        <v>255</v>
      </c>
      <c r="E31" s="80" t="s">
        <v>256</v>
      </c>
      <c r="F31" s="73">
        <v>2000</v>
      </c>
      <c r="G31" s="62">
        <v>2000</v>
      </c>
      <c r="H31" s="62">
        <v>2000</v>
      </c>
      <c r="I31" s="62">
        <v>2000</v>
      </c>
      <c r="J31" s="62">
        <v>2000</v>
      </c>
      <c r="K31" s="62">
        <v>2000</v>
      </c>
      <c r="L31" s="62">
        <v>2000</v>
      </c>
      <c r="M31" s="62">
        <v>2000</v>
      </c>
      <c r="N31" s="62">
        <v>1000</v>
      </c>
      <c r="O31" s="62"/>
      <c r="P31" s="62"/>
      <c r="Q31" s="62"/>
      <c r="R31" s="62"/>
      <c r="S31" s="81">
        <f t="shared" ref="S31" si="6">+F31*12</f>
        <v>24000</v>
      </c>
      <c r="T31" s="74">
        <f t="shared" si="5"/>
        <v>15000</v>
      </c>
      <c r="U31" s="75">
        <f>+S31-T31</f>
        <v>9000</v>
      </c>
      <c r="V31" s="76" t="s">
        <v>201</v>
      </c>
      <c r="W31" s="82" t="s">
        <v>257</v>
      </c>
      <c r="X31" s="78" t="s">
        <v>258</v>
      </c>
    </row>
    <row r="32" spans="1:24" s="70" customFormat="1" ht="39.75" customHeight="1" x14ac:dyDescent="0.25">
      <c r="A32" s="79">
        <f>+A31+1</f>
        <v>18</v>
      </c>
      <c r="B32" s="122"/>
      <c r="C32" s="125"/>
      <c r="D32" s="72" t="s">
        <v>259</v>
      </c>
      <c r="E32" s="92" t="s">
        <v>260</v>
      </c>
      <c r="F32" s="73">
        <v>3000</v>
      </c>
      <c r="G32" s="62">
        <v>3000</v>
      </c>
      <c r="H32" s="62">
        <v>3000</v>
      </c>
      <c r="I32" s="62">
        <v>3000</v>
      </c>
      <c r="J32" s="62">
        <v>3000</v>
      </c>
      <c r="K32" s="62">
        <v>3000</v>
      </c>
      <c r="L32" s="62">
        <v>3000</v>
      </c>
      <c r="M32" s="62"/>
      <c r="N32" s="62"/>
      <c r="O32" s="62"/>
      <c r="P32" s="62"/>
      <c r="Q32" s="62"/>
      <c r="R32" s="62"/>
      <c r="S32" s="81">
        <f t="shared" si="0"/>
        <v>36000</v>
      </c>
      <c r="T32" s="74">
        <f t="shared" si="5"/>
        <v>18000</v>
      </c>
      <c r="U32" s="75">
        <f>+S32-T32</f>
        <v>18000</v>
      </c>
      <c r="V32" s="76" t="s">
        <v>201</v>
      </c>
      <c r="W32" s="85" t="s">
        <v>261</v>
      </c>
      <c r="X32" s="78" t="s">
        <v>258</v>
      </c>
    </row>
    <row r="33" spans="1:24" s="70" customFormat="1" ht="39.75" customHeight="1" x14ac:dyDescent="0.25">
      <c r="A33" s="79">
        <f>+A32+1</f>
        <v>19</v>
      </c>
      <c r="B33" s="122"/>
      <c r="C33" s="125"/>
      <c r="D33" s="72" t="s">
        <v>262</v>
      </c>
      <c r="E33" s="80" t="s">
        <v>263</v>
      </c>
      <c r="F33" s="73">
        <v>2000</v>
      </c>
      <c r="G33" s="62">
        <v>2000</v>
      </c>
      <c r="H33" s="62">
        <v>2000</v>
      </c>
      <c r="I33" s="62">
        <v>2000</v>
      </c>
      <c r="J33" s="83"/>
      <c r="K33" s="83"/>
      <c r="L33" s="83"/>
      <c r="M33" s="83"/>
      <c r="N33" s="83"/>
      <c r="O33" s="83"/>
      <c r="P33" s="83"/>
      <c r="Q33" s="83"/>
      <c r="R33" s="83"/>
      <c r="S33" s="81">
        <f>+F33*3</f>
        <v>6000</v>
      </c>
      <c r="T33" s="74">
        <f t="shared" si="5"/>
        <v>6000</v>
      </c>
      <c r="U33" s="75">
        <f t="shared" ref="U33" si="7">+S33-T33</f>
        <v>0</v>
      </c>
      <c r="V33" s="76" t="s">
        <v>201</v>
      </c>
      <c r="W33" s="85" t="s">
        <v>264</v>
      </c>
      <c r="X33" s="78" t="s">
        <v>258</v>
      </c>
    </row>
    <row r="34" spans="1:24" s="70" customFormat="1" ht="30.75" customHeight="1" x14ac:dyDescent="0.25">
      <c r="A34" s="79">
        <f t="shared" ref="A34:A39" si="8">+A33+1</f>
        <v>20</v>
      </c>
      <c r="B34" s="123"/>
      <c r="C34" s="126"/>
      <c r="D34" s="72" t="s">
        <v>265</v>
      </c>
      <c r="E34" s="80" t="s">
        <v>266</v>
      </c>
      <c r="F34" s="73">
        <v>2000</v>
      </c>
      <c r="G34" s="62">
        <v>2000</v>
      </c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81">
        <f>+F34*12</f>
        <v>24000</v>
      </c>
      <c r="T34" s="74">
        <f t="shared" si="5"/>
        <v>2000</v>
      </c>
      <c r="U34" s="75">
        <f t="shared" si="2"/>
        <v>22000</v>
      </c>
      <c r="V34" s="76" t="s">
        <v>201</v>
      </c>
      <c r="W34" s="85" t="s">
        <v>267</v>
      </c>
      <c r="X34" s="78" t="s">
        <v>258</v>
      </c>
    </row>
    <row r="35" spans="1:24" s="70" customFormat="1" ht="35.25" customHeight="1" x14ac:dyDescent="0.25">
      <c r="A35" s="79">
        <f t="shared" si="8"/>
        <v>21</v>
      </c>
      <c r="B35" s="128" t="s">
        <v>197</v>
      </c>
      <c r="C35" s="127" t="s">
        <v>268</v>
      </c>
      <c r="D35" s="72" t="s">
        <v>269</v>
      </c>
      <c r="E35" s="80" t="s">
        <v>270</v>
      </c>
      <c r="F35" s="73">
        <v>3000</v>
      </c>
      <c r="G35" s="62">
        <v>3000</v>
      </c>
      <c r="H35" s="62">
        <v>3000</v>
      </c>
      <c r="I35" s="62">
        <v>3000</v>
      </c>
      <c r="J35" s="62">
        <v>1000</v>
      </c>
      <c r="K35" s="62"/>
      <c r="L35" s="62"/>
      <c r="M35" s="62"/>
      <c r="N35" s="62"/>
      <c r="O35" s="62"/>
      <c r="P35" s="62"/>
      <c r="Q35" s="62"/>
      <c r="R35" s="62"/>
      <c r="S35" s="81">
        <f t="shared" si="0"/>
        <v>36000</v>
      </c>
      <c r="T35" s="74">
        <f t="shared" si="5"/>
        <v>10000</v>
      </c>
      <c r="U35" s="75">
        <f t="shared" si="2"/>
        <v>26000</v>
      </c>
      <c r="V35" s="76" t="s">
        <v>201</v>
      </c>
      <c r="W35" s="85" t="s">
        <v>271</v>
      </c>
      <c r="X35" s="78" t="s">
        <v>272</v>
      </c>
    </row>
    <row r="36" spans="1:24" s="70" customFormat="1" ht="36.75" customHeight="1" x14ac:dyDescent="0.25">
      <c r="A36" s="79">
        <f t="shared" si="8"/>
        <v>22</v>
      </c>
      <c r="B36" s="122"/>
      <c r="C36" s="126"/>
      <c r="D36" s="72" t="s">
        <v>273</v>
      </c>
      <c r="E36" s="80" t="s">
        <v>274</v>
      </c>
      <c r="F36" s="73">
        <v>14000</v>
      </c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81">
        <f t="shared" si="0"/>
        <v>168000</v>
      </c>
      <c r="T36" s="74">
        <f t="shared" si="5"/>
        <v>0</v>
      </c>
      <c r="U36" s="75">
        <f t="shared" si="2"/>
        <v>168000</v>
      </c>
      <c r="V36" s="76" t="s">
        <v>201</v>
      </c>
      <c r="W36" s="82" t="s">
        <v>275</v>
      </c>
      <c r="X36" s="78" t="s">
        <v>272</v>
      </c>
    </row>
    <row r="37" spans="1:24" s="70" customFormat="1" ht="39.75" customHeight="1" x14ac:dyDescent="0.25">
      <c r="A37" s="79">
        <f t="shared" si="8"/>
        <v>23</v>
      </c>
      <c r="B37" s="122"/>
      <c r="C37" s="90" t="s">
        <v>276</v>
      </c>
      <c r="D37" s="72" t="s">
        <v>277</v>
      </c>
      <c r="E37" s="92" t="s">
        <v>278</v>
      </c>
      <c r="F37" s="73">
        <v>6000</v>
      </c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81">
        <f>+F37*12</f>
        <v>72000</v>
      </c>
      <c r="T37" s="74">
        <f t="shared" si="5"/>
        <v>0</v>
      </c>
      <c r="U37" s="75">
        <f t="shared" si="2"/>
        <v>72000</v>
      </c>
      <c r="V37" s="76" t="s">
        <v>201</v>
      </c>
      <c r="W37" s="85" t="s">
        <v>279</v>
      </c>
      <c r="X37" s="87" t="s">
        <v>280</v>
      </c>
    </row>
    <row r="38" spans="1:24" s="70" customFormat="1" ht="30" customHeight="1" x14ac:dyDescent="0.25">
      <c r="A38" s="79">
        <f t="shared" si="8"/>
        <v>24</v>
      </c>
      <c r="B38" s="122"/>
      <c r="C38" s="90" t="s">
        <v>281</v>
      </c>
      <c r="D38" s="72" t="s">
        <v>282</v>
      </c>
      <c r="E38" s="92" t="s">
        <v>283</v>
      </c>
      <c r="F38" s="73">
        <v>3000</v>
      </c>
      <c r="G38" s="62"/>
      <c r="H38" s="62"/>
      <c r="I38" s="62"/>
      <c r="J38" s="62"/>
      <c r="K38" s="62"/>
      <c r="L38" s="62"/>
      <c r="M38" s="62"/>
      <c r="N38" s="93"/>
      <c r="O38" s="62"/>
      <c r="P38" s="62"/>
      <c r="Q38" s="62"/>
      <c r="R38" s="62"/>
      <c r="S38" s="81">
        <v>0</v>
      </c>
      <c r="T38" s="74">
        <f t="shared" si="5"/>
        <v>0</v>
      </c>
      <c r="U38" s="75">
        <v>0</v>
      </c>
      <c r="V38" s="76" t="s">
        <v>201</v>
      </c>
      <c r="W38" s="85" t="s">
        <v>284</v>
      </c>
      <c r="X38" s="87" t="s">
        <v>245</v>
      </c>
    </row>
    <row r="39" spans="1:24" s="70" customFormat="1" ht="39.75" customHeight="1" x14ac:dyDescent="0.25">
      <c r="A39" s="79">
        <f t="shared" si="8"/>
        <v>25</v>
      </c>
      <c r="B39" s="122"/>
      <c r="C39" s="90" t="s">
        <v>285</v>
      </c>
      <c r="D39" s="72" t="s">
        <v>286</v>
      </c>
      <c r="E39" s="92" t="s">
        <v>287</v>
      </c>
      <c r="F39" s="73">
        <v>6000</v>
      </c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81">
        <f t="shared" si="0"/>
        <v>72000</v>
      </c>
      <c r="T39" s="74">
        <f t="shared" si="5"/>
        <v>0</v>
      </c>
      <c r="U39" s="75">
        <f t="shared" si="2"/>
        <v>72000</v>
      </c>
      <c r="V39" s="76" t="s">
        <v>201</v>
      </c>
      <c r="W39" s="85" t="s">
        <v>288</v>
      </c>
      <c r="X39" s="78" t="s">
        <v>289</v>
      </c>
    </row>
    <row r="40" spans="1:24" s="70" customFormat="1" ht="33" customHeight="1" x14ac:dyDescent="0.25">
      <c r="A40" s="79">
        <f>+A39+1</f>
        <v>26</v>
      </c>
      <c r="B40" s="122"/>
      <c r="C40" s="90" t="s">
        <v>290</v>
      </c>
      <c r="D40" s="72" t="s">
        <v>291</v>
      </c>
      <c r="E40" s="80" t="s">
        <v>292</v>
      </c>
      <c r="F40" s="73">
        <v>14000</v>
      </c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81">
        <f t="shared" si="0"/>
        <v>168000</v>
      </c>
      <c r="T40" s="74">
        <f t="shared" si="5"/>
        <v>0</v>
      </c>
      <c r="U40" s="75">
        <f>+S40-T40</f>
        <v>168000</v>
      </c>
      <c r="V40" s="76" t="s">
        <v>201</v>
      </c>
      <c r="W40" s="82" t="s">
        <v>293</v>
      </c>
      <c r="X40" s="87" t="s">
        <v>294</v>
      </c>
    </row>
    <row r="41" spans="1:24" s="70" customFormat="1" ht="27.75" customHeight="1" x14ac:dyDescent="0.25">
      <c r="A41" s="79">
        <f t="shared" ref="A41:A46" si="9">+A40+1</f>
        <v>27</v>
      </c>
      <c r="B41" s="122"/>
      <c r="C41" s="127" t="s">
        <v>295</v>
      </c>
      <c r="D41" s="72" t="s">
        <v>296</v>
      </c>
      <c r="E41" s="80" t="s">
        <v>297</v>
      </c>
      <c r="F41" s="73">
        <v>2000</v>
      </c>
      <c r="G41" s="62">
        <v>2000</v>
      </c>
      <c r="H41" s="62">
        <v>2000</v>
      </c>
      <c r="I41" s="62">
        <v>2000</v>
      </c>
      <c r="J41" s="62">
        <v>2000</v>
      </c>
      <c r="K41" s="62">
        <v>2000</v>
      </c>
      <c r="L41" s="62">
        <v>2000</v>
      </c>
      <c r="M41" s="62">
        <v>2000</v>
      </c>
      <c r="N41" s="62">
        <v>2000</v>
      </c>
      <c r="O41" s="62">
        <v>2000</v>
      </c>
      <c r="P41" s="62"/>
      <c r="Q41" s="62"/>
      <c r="R41" s="62"/>
      <c r="S41" s="81">
        <f t="shared" si="0"/>
        <v>24000</v>
      </c>
      <c r="T41" s="74">
        <f t="shared" si="5"/>
        <v>18000</v>
      </c>
      <c r="U41" s="75">
        <f t="shared" si="2"/>
        <v>6000</v>
      </c>
      <c r="V41" s="76" t="s">
        <v>201</v>
      </c>
      <c r="W41" s="85" t="s">
        <v>298</v>
      </c>
      <c r="X41" s="78" t="s">
        <v>299</v>
      </c>
    </row>
    <row r="42" spans="1:24" s="70" customFormat="1" ht="27.75" customHeight="1" x14ac:dyDescent="0.25">
      <c r="A42" s="79">
        <f>+A41+1</f>
        <v>28</v>
      </c>
      <c r="B42" s="122"/>
      <c r="C42" s="125"/>
      <c r="D42" s="72" t="s">
        <v>300</v>
      </c>
      <c r="E42" s="80" t="s">
        <v>301</v>
      </c>
      <c r="F42" s="73">
        <v>2000</v>
      </c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81">
        <f>+F42*12</f>
        <v>24000</v>
      </c>
      <c r="T42" s="74">
        <f t="shared" si="5"/>
        <v>0</v>
      </c>
      <c r="U42" s="75">
        <f>+S42-T42</f>
        <v>24000</v>
      </c>
      <c r="V42" s="76" t="s">
        <v>201</v>
      </c>
      <c r="W42" s="82" t="s">
        <v>302</v>
      </c>
      <c r="X42" s="78" t="s">
        <v>30</v>
      </c>
    </row>
    <row r="43" spans="1:24" s="70" customFormat="1" ht="39.75" customHeight="1" x14ac:dyDescent="0.25">
      <c r="A43" s="79">
        <f t="shared" si="9"/>
        <v>29</v>
      </c>
      <c r="B43" s="122"/>
      <c r="C43" s="126"/>
      <c r="D43" s="72" t="s">
        <v>303</v>
      </c>
      <c r="E43" s="80" t="s">
        <v>304</v>
      </c>
      <c r="F43" s="73">
        <v>2000</v>
      </c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81">
        <f>+F43*12</f>
        <v>24000</v>
      </c>
      <c r="T43" s="74">
        <f t="shared" si="5"/>
        <v>0</v>
      </c>
      <c r="U43" s="75">
        <f t="shared" si="2"/>
        <v>24000</v>
      </c>
      <c r="V43" s="76" t="s">
        <v>201</v>
      </c>
      <c r="W43" s="82" t="s">
        <v>305</v>
      </c>
      <c r="X43" s="78" t="s">
        <v>306</v>
      </c>
    </row>
    <row r="44" spans="1:24" s="70" customFormat="1" ht="30.75" customHeight="1" x14ac:dyDescent="0.25">
      <c r="A44" s="79">
        <f>+A43+1</f>
        <v>30</v>
      </c>
      <c r="B44" s="122"/>
      <c r="C44" s="90" t="s">
        <v>307</v>
      </c>
      <c r="D44" s="72"/>
      <c r="E44" s="80" t="s">
        <v>308</v>
      </c>
      <c r="F44" s="73">
        <v>10000</v>
      </c>
      <c r="G44" s="83"/>
      <c r="H44" s="83"/>
      <c r="I44" s="83"/>
      <c r="J44" s="83"/>
      <c r="K44" s="83"/>
      <c r="L44" s="62">
        <v>10000</v>
      </c>
      <c r="M44" s="62">
        <v>10000</v>
      </c>
      <c r="N44" s="62">
        <v>10000</v>
      </c>
      <c r="O44" s="62"/>
      <c r="P44" s="62"/>
      <c r="Q44" s="62"/>
      <c r="R44" s="62"/>
      <c r="S44" s="81">
        <f>+F44*8</f>
        <v>80000</v>
      </c>
      <c r="T44" s="74">
        <f t="shared" si="5"/>
        <v>30000</v>
      </c>
      <c r="U44" s="75">
        <f t="shared" si="2"/>
        <v>50000</v>
      </c>
      <c r="V44" s="76"/>
      <c r="W44" s="85"/>
      <c r="X44" s="87"/>
    </row>
    <row r="45" spans="1:24" s="70" customFormat="1" ht="39.75" customHeight="1" x14ac:dyDescent="0.25">
      <c r="A45" s="79">
        <f t="shared" si="9"/>
        <v>31</v>
      </c>
      <c r="B45" s="122"/>
      <c r="C45" s="90" t="s">
        <v>309</v>
      </c>
      <c r="D45" s="72" t="s">
        <v>310</v>
      </c>
      <c r="E45" s="92" t="s">
        <v>311</v>
      </c>
      <c r="F45" s="73">
        <v>6000</v>
      </c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81">
        <f t="shared" si="0"/>
        <v>72000</v>
      </c>
      <c r="T45" s="74">
        <f t="shared" si="5"/>
        <v>0</v>
      </c>
      <c r="U45" s="75">
        <f t="shared" si="2"/>
        <v>72000</v>
      </c>
      <c r="V45" s="76" t="s">
        <v>201</v>
      </c>
      <c r="W45" s="85" t="s">
        <v>312</v>
      </c>
      <c r="X45" s="78" t="s">
        <v>313</v>
      </c>
    </row>
    <row r="46" spans="1:24" s="70" customFormat="1" ht="39.75" customHeight="1" x14ac:dyDescent="0.25">
      <c r="A46" s="79">
        <f t="shared" si="9"/>
        <v>32</v>
      </c>
      <c r="B46" s="122"/>
      <c r="C46" s="90" t="s">
        <v>314</v>
      </c>
      <c r="D46" s="72" t="s">
        <v>315</v>
      </c>
      <c r="E46" s="92" t="s">
        <v>316</v>
      </c>
      <c r="F46" s="73">
        <v>15000</v>
      </c>
      <c r="G46" s="62">
        <v>15000</v>
      </c>
      <c r="H46" s="62">
        <v>15000</v>
      </c>
      <c r="I46" s="62">
        <v>15000</v>
      </c>
      <c r="J46" s="62">
        <v>15000</v>
      </c>
      <c r="K46" s="62"/>
      <c r="L46" s="62"/>
      <c r="M46" s="62"/>
      <c r="N46" s="62"/>
      <c r="O46" s="62"/>
      <c r="P46" s="62"/>
      <c r="Q46" s="62"/>
      <c r="R46" s="62"/>
      <c r="S46" s="81">
        <f>+F46*12</f>
        <v>180000</v>
      </c>
      <c r="T46" s="74">
        <f t="shared" si="5"/>
        <v>60000</v>
      </c>
      <c r="U46" s="75">
        <f>+S46-T46</f>
        <v>120000</v>
      </c>
      <c r="V46" s="76" t="s">
        <v>201</v>
      </c>
      <c r="W46" s="85" t="s">
        <v>317</v>
      </c>
      <c r="X46" s="87" t="s">
        <v>318</v>
      </c>
    </row>
    <row r="47" spans="1:24" s="70" customFormat="1" ht="30.75" customHeight="1" x14ac:dyDescent="0.25">
      <c r="A47" s="79">
        <f>+A46+1</f>
        <v>33</v>
      </c>
      <c r="B47" s="123"/>
      <c r="C47" s="90" t="s">
        <v>319</v>
      </c>
      <c r="D47" s="72" t="s">
        <v>320</v>
      </c>
      <c r="E47" s="80" t="s">
        <v>321</v>
      </c>
      <c r="F47" s="73">
        <v>10000</v>
      </c>
      <c r="G47" s="62">
        <v>10000</v>
      </c>
      <c r="H47" s="62">
        <v>10000</v>
      </c>
      <c r="I47" s="62">
        <v>10000</v>
      </c>
      <c r="J47" s="62">
        <v>10000</v>
      </c>
      <c r="K47" s="62">
        <v>10000</v>
      </c>
      <c r="L47" s="62">
        <v>10000</v>
      </c>
      <c r="M47" s="62"/>
      <c r="N47" s="62"/>
      <c r="O47" s="62"/>
      <c r="P47" s="62"/>
      <c r="Q47" s="62"/>
      <c r="R47" s="62"/>
      <c r="S47" s="81">
        <f>+F47*12</f>
        <v>120000</v>
      </c>
      <c r="T47" s="74">
        <f t="shared" si="5"/>
        <v>60000</v>
      </c>
      <c r="U47" s="75">
        <f>+S47-T47</f>
        <v>60000</v>
      </c>
      <c r="V47" s="76" t="s">
        <v>201</v>
      </c>
      <c r="W47" s="85" t="s">
        <v>322</v>
      </c>
      <c r="X47" s="78" t="s">
        <v>323</v>
      </c>
    </row>
    <row r="48" spans="1:24" s="70" customFormat="1" ht="21.75" customHeight="1" x14ac:dyDescent="0.25">
      <c r="A48" s="86"/>
      <c r="B48" s="94"/>
      <c r="C48" s="90" t="s">
        <v>324</v>
      </c>
      <c r="D48" s="72"/>
      <c r="E48" s="95" t="s">
        <v>233</v>
      </c>
      <c r="F48" s="73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81">
        <f>+F48*8</f>
        <v>0</v>
      </c>
      <c r="T48" s="74">
        <f t="shared" si="5"/>
        <v>0</v>
      </c>
      <c r="U48" s="75">
        <f>+S48-T48</f>
        <v>0</v>
      </c>
      <c r="V48" s="76" t="s">
        <v>201</v>
      </c>
      <c r="W48" s="85" t="s">
        <v>325</v>
      </c>
      <c r="X48" s="78" t="s">
        <v>326</v>
      </c>
    </row>
    <row r="49" spans="1:26" s="70" customFormat="1" ht="44.25" customHeight="1" x14ac:dyDescent="0.25">
      <c r="A49" s="79">
        <f>+A47+1</f>
        <v>34</v>
      </c>
      <c r="B49" s="96" t="s">
        <v>327</v>
      </c>
      <c r="C49" s="97" t="s">
        <v>328</v>
      </c>
      <c r="D49" s="98" t="s">
        <v>329</v>
      </c>
      <c r="E49" s="92" t="s">
        <v>330</v>
      </c>
      <c r="F49" s="73">
        <v>60000</v>
      </c>
      <c r="G49" s="62">
        <v>60000</v>
      </c>
      <c r="H49" s="62">
        <v>60000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81">
        <f>+F49*12</f>
        <v>720000</v>
      </c>
      <c r="T49" s="74">
        <f t="shared" si="5"/>
        <v>120000</v>
      </c>
      <c r="U49" s="75">
        <f t="shared" si="2"/>
        <v>600000</v>
      </c>
      <c r="V49" s="76" t="s">
        <v>201</v>
      </c>
      <c r="W49" s="85" t="s">
        <v>331</v>
      </c>
      <c r="X49" s="99" t="s">
        <v>332</v>
      </c>
    </row>
    <row r="50" spans="1:26" s="70" customFormat="1" ht="36" customHeight="1" x14ac:dyDescent="0.25">
      <c r="A50" s="79">
        <f>+A49+1</f>
        <v>35</v>
      </c>
      <c r="B50" s="96" t="s">
        <v>327</v>
      </c>
      <c r="C50" s="97" t="s">
        <v>333</v>
      </c>
      <c r="D50" s="100" t="s">
        <v>334</v>
      </c>
      <c r="E50" s="92" t="s">
        <v>335</v>
      </c>
      <c r="F50" s="73">
        <v>10000</v>
      </c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81">
        <f>+F50*12</f>
        <v>120000</v>
      </c>
      <c r="T50" s="74">
        <f t="shared" si="5"/>
        <v>0</v>
      </c>
      <c r="U50" s="75">
        <f t="shared" si="2"/>
        <v>120000</v>
      </c>
      <c r="V50" s="76" t="s">
        <v>201</v>
      </c>
      <c r="W50" s="85" t="s">
        <v>336</v>
      </c>
      <c r="X50" s="99" t="s">
        <v>337</v>
      </c>
    </row>
    <row r="51" spans="1:26" s="70" customFormat="1" ht="47.25" customHeight="1" thickBot="1" x14ac:dyDescent="0.3">
      <c r="A51" s="79">
        <f>+A50+1</f>
        <v>36</v>
      </c>
      <c r="B51" s="90" t="s">
        <v>338</v>
      </c>
      <c r="C51" s="101" t="s">
        <v>339</v>
      </c>
      <c r="D51" s="98" t="s">
        <v>340</v>
      </c>
      <c r="E51" s="92" t="s">
        <v>341</v>
      </c>
      <c r="F51" s="73">
        <v>5000</v>
      </c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81">
        <f>+F51*12</f>
        <v>60000</v>
      </c>
      <c r="T51" s="74">
        <f t="shared" si="5"/>
        <v>0</v>
      </c>
      <c r="U51" s="75">
        <f t="shared" si="2"/>
        <v>60000</v>
      </c>
      <c r="V51" s="76" t="s">
        <v>342</v>
      </c>
      <c r="W51" s="85" t="s">
        <v>343</v>
      </c>
      <c r="X51" s="87" t="s">
        <v>344</v>
      </c>
    </row>
    <row r="52" spans="1:26" s="70" customFormat="1" ht="35.25" customHeight="1" thickBot="1" x14ac:dyDescent="0.3">
      <c r="A52" s="129" t="s">
        <v>345</v>
      </c>
      <c r="B52" s="130"/>
      <c r="C52" s="130"/>
      <c r="D52" s="130"/>
      <c r="E52" s="131"/>
      <c r="F52" s="102">
        <f>SUM(F12:F51)</f>
        <v>238000</v>
      </c>
      <c r="G52" s="102">
        <f t="shared" ref="G52:X52" si="10">SUM(G12:G51)</f>
        <v>124000</v>
      </c>
      <c r="H52" s="102">
        <f t="shared" si="10"/>
        <v>132000</v>
      </c>
      <c r="I52" s="102">
        <f t="shared" si="10"/>
        <v>71000</v>
      </c>
      <c r="J52" s="102">
        <f>SUM(J12:J51)</f>
        <v>51000</v>
      </c>
      <c r="K52" s="102">
        <f t="shared" si="10"/>
        <v>35000</v>
      </c>
      <c r="L52" s="102">
        <f t="shared" si="10"/>
        <v>47000</v>
      </c>
      <c r="M52" s="102">
        <f t="shared" si="10"/>
        <v>28000</v>
      </c>
      <c r="N52" s="102">
        <f t="shared" si="10"/>
        <v>15000</v>
      </c>
      <c r="O52" s="102">
        <f t="shared" si="10"/>
        <v>2000</v>
      </c>
      <c r="P52" s="102">
        <f t="shared" si="10"/>
        <v>0</v>
      </c>
      <c r="Q52" s="102">
        <f t="shared" si="10"/>
        <v>0</v>
      </c>
      <c r="R52" s="102">
        <f t="shared" si="10"/>
        <v>0</v>
      </c>
      <c r="S52" s="102">
        <f t="shared" si="10"/>
        <v>2558000</v>
      </c>
      <c r="T52" s="102">
        <f t="shared" si="10"/>
        <v>395000</v>
      </c>
      <c r="U52" s="102">
        <f>SUM(U12:U51)</f>
        <v>2009000</v>
      </c>
      <c r="V52" s="102">
        <f t="shared" si="10"/>
        <v>0</v>
      </c>
      <c r="W52" s="102">
        <f t="shared" si="10"/>
        <v>0</v>
      </c>
      <c r="X52" s="102">
        <f t="shared" si="10"/>
        <v>0</v>
      </c>
    </row>
    <row r="53" spans="1:26" s="106" customFormat="1" ht="24" customHeight="1" x14ac:dyDescent="0.35">
      <c r="A53" s="103"/>
      <c r="B53" s="104"/>
      <c r="C53" s="104"/>
      <c r="D53" s="104"/>
      <c r="E53" s="104"/>
      <c r="F53" s="104"/>
      <c r="G53" s="105"/>
      <c r="H53" s="105"/>
      <c r="I53" s="105"/>
      <c r="J53" s="105"/>
      <c r="K53" s="105"/>
      <c r="L53" s="105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</row>
    <row r="54" spans="1:26" s="106" customFormat="1" ht="24" customHeight="1" x14ac:dyDescent="0.35">
      <c r="A54" s="103"/>
      <c r="B54" s="104"/>
      <c r="C54" s="104"/>
      <c r="D54" s="104"/>
      <c r="E54" s="104"/>
      <c r="F54" s="104"/>
      <c r="G54" s="105"/>
      <c r="H54" s="105"/>
      <c r="I54" s="105"/>
      <c r="J54" s="105"/>
      <c r="K54" s="105"/>
      <c r="L54" s="105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</row>
    <row r="55" spans="1:26" s="106" customFormat="1" ht="24" customHeight="1" x14ac:dyDescent="0.35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7" t="s">
        <v>346</v>
      </c>
      <c r="S55" s="108"/>
      <c r="T55" s="132"/>
      <c r="U55" s="132"/>
      <c r="V55" s="132"/>
      <c r="W55" s="104"/>
      <c r="X55" s="104"/>
    </row>
    <row r="56" spans="1:26" s="106" customFormat="1" ht="23.25" x14ac:dyDescent="0.35">
      <c r="A56" s="103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s="106" customFormat="1" ht="23.25" x14ac:dyDescent="0.35">
      <c r="A57" s="103"/>
      <c r="C57" s="110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10"/>
      <c r="Q57" s="111"/>
      <c r="R57" s="109"/>
      <c r="S57" s="109"/>
      <c r="T57" s="109"/>
      <c r="V57" s="109"/>
      <c r="W57" s="109"/>
      <c r="X57" s="112" t="e">
        <f>+U56-#REF!</f>
        <v>#REF!</v>
      </c>
    </row>
    <row r="58" spans="1:26" s="106" customFormat="1" ht="23.25" x14ac:dyDescent="0.35">
      <c r="A58" s="103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</row>
    <row r="59" spans="1:26" s="106" customFormat="1" ht="23.25" x14ac:dyDescent="0.35">
      <c r="A59" s="103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</row>
    <row r="60" spans="1:26" s="106" customFormat="1" ht="23.25" x14ac:dyDescent="0.35">
      <c r="A60" s="103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</row>
    <row r="61" spans="1:26" s="106" customFormat="1" ht="23.25" x14ac:dyDescent="0.35">
      <c r="A61" s="103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</row>
    <row r="62" spans="1:26" s="106" customFormat="1" ht="23.25" x14ac:dyDescent="0.35">
      <c r="A62" s="103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</row>
    <row r="63" spans="1:26" s="106" customFormat="1" ht="23.25" x14ac:dyDescent="0.35">
      <c r="A63" s="103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</row>
    <row r="64" spans="1:26" s="106" customFormat="1" ht="23.25" x14ac:dyDescent="0.35">
      <c r="A64" s="103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</row>
    <row r="65" spans="1:24" s="106" customFormat="1" ht="23.25" x14ac:dyDescent="0.35">
      <c r="A65" s="103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</row>
    <row r="66" spans="1:24" s="106" customFormat="1" ht="23.25" x14ac:dyDescent="0.35">
      <c r="A66" s="103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</row>
    <row r="67" spans="1:24" s="106" customFormat="1" ht="23.25" x14ac:dyDescent="0.35">
      <c r="A67" s="103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</row>
    <row r="68" spans="1:24" s="106" customFormat="1" ht="23.25" x14ac:dyDescent="0.35">
      <c r="A68" s="103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</row>
    <row r="69" spans="1:24" s="106" customFormat="1" ht="23.25" x14ac:dyDescent="0.35">
      <c r="A69" s="103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</row>
    <row r="70" spans="1:24" s="106" customFormat="1" ht="23.25" x14ac:dyDescent="0.35">
      <c r="A70" s="103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</row>
    <row r="71" spans="1:24" s="106" customFormat="1" ht="23.25" x14ac:dyDescent="0.35">
      <c r="A71" s="103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</row>
    <row r="72" spans="1:24" s="106" customFormat="1" ht="23.25" x14ac:dyDescent="0.35">
      <c r="A72" s="103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</row>
    <row r="73" spans="1:24" s="106" customFormat="1" ht="23.25" x14ac:dyDescent="0.35">
      <c r="A73" s="103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</row>
    <row r="74" spans="1:24" s="106" customFormat="1" ht="23.25" x14ac:dyDescent="0.35">
      <c r="A74" s="103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</row>
    <row r="75" spans="1:24" s="106" customFormat="1" ht="23.25" x14ac:dyDescent="0.35">
      <c r="A75" s="103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</row>
    <row r="76" spans="1:24" s="106" customFormat="1" ht="23.25" x14ac:dyDescent="0.35">
      <c r="A76" s="103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</row>
    <row r="77" spans="1:24" s="106" customFormat="1" ht="23.25" x14ac:dyDescent="0.35">
      <c r="A77" s="103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</row>
  </sheetData>
  <mergeCells count="13">
    <mergeCell ref="B35:B47"/>
    <mergeCell ref="C35:C36"/>
    <mergeCell ref="C41:C43"/>
    <mergeCell ref="A52:E52"/>
    <mergeCell ref="T55:V55"/>
    <mergeCell ref="B8:X8"/>
    <mergeCell ref="B9:X9"/>
    <mergeCell ref="B12:B34"/>
    <mergeCell ref="C12:C18"/>
    <mergeCell ref="C19:C23"/>
    <mergeCell ref="C24:C26"/>
    <mergeCell ref="C27:C28"/>
    <mergeCell ref="C30:C3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2"/>
  <sheetViews>
    <sheetView workbookViewId="0">
      <selection activeCell="F10" sqref="F10"/>
    </sheetView>
  </sheetViews>
  <sheetFormatPr baseColWidth="10" defaultRowHeight="15" x14ac:dyDescent="0.25"/>
  <sheetData>
    <row r="4" spans="2:7" ht="15.75" thickBot="1" x14ac:dyDescent="0.3"/>
    <row r="5" spans="2:7" ht="15.75" thickBot="1" x14ac:dyDescent="0.3">
      <c r="B5" s="27"/>
      <c r="C5" s="28"/>
      <c r="D5" s="28"/>
      <c r="E5" s="28"/>
      <c r="F5" s="28"/>
      <c r="G5" s="29"/>
    </row>
    <row r="6" spans="2:7" ht="15.75" thickBot="1" x14ac:dyDescent="0.3">
      <c r="B6" s="30"/>
      <c r="C6" s="31"/>
      <c r="D6" s="31"/>
      <c r="E6" s="31"/>
      <c r="F6" s="31"/>
      <c r="G6" s="31"/>
    </row>
    <row r="7" spans="2:7" ht="15.75" thickBot="1" x14ac:dyDescent="0.3">
      <c r="B7" s="32"/>
      <c r="C7" s="33"/>
      <c r="D7" s="33"/>
      <c r="E7" s="33"/>
      <c r="F7" s="33"/>
      <c r="G7" s="33"/>
    </row>
    <row r="8" spans="2:7" ht="15.75" thickBot="1" x14ac:dyDescent="0.3">
      <c r="B8" s="30"/>
      <c r="C8" s="31"/>
      <c r="D8" s="31"/>
      <c r="E8" s="31"/>
      <c r="F8" s="31"/>
      <c r="G8" s="31"/>
    </row>
    <row r="9" spans="2:7" ht="15.75" thickBot="1" x14ac:dyDescent="0.3">
      <c r="B9" s="32"/>
      <c r="C9" s="33"/>
      <c r="D9" s="33"/>
      <c r="E9" s="33"/>
      <c r="F9" s="33"/>
      <c r="G9" s="33"/>
    </row>
    <row r="10" spans="2:7" ht="15.75" thickBot="1" x14ac:dyDescent="0.3">
      <c r="B10" s="30"/>
      <c r="C10" s="31"/>
      <c r="D10" s="31"/>
      <c r="E10" s="31"/>
      <c r="F10" s="31"/>
      <c r="G10" s="31"/>
    </row>
    <row r="11" spans="2:7" ht="15.75" thickBot="1" x14ac:dyDescent="0.3">
      <c r="B11" s="32"/>
      <c r="C11" s="33"/>
      <c r="D11" s="33"/>
      <c r="E11" s="33"/>
      <c r="F11" s="33"/>
      <c r="G11" s="33"/>
    </row>
    <row r="12" spans="2:7" ht="15.75" thickBot="1" x14ac:dyDescent="0.3">
      <c r="B12" s="30"/>
      <c r="C12" s="31"/>
      <c r="D12" s="31"/>
      <c r="E12" s="31"/>
      <c r="F12" s="31"/>
      <c r="G12" s="3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70"/>
  <sheetViews>
    <sheetView view="pageBreakPreview" topLeftCell="E10" zoomScaleNormal="100" zoomScaleSheetLayoutView="100" workbookViewId="0">
      <selection activeCell="I21" sqref="I21"/>
    </sheetView>
  </sheetViews>
  <sheetFormatPr baseColWidth="10" defaultColWidth="9.140625" defaultRowHeight="15" x14ac:dyDescent="0.25"/>
  <cols>
    <col min="1" max="1" width="4.7109375" customWidth="1"/>
    <col min="2" max="2" width="46.5703125" customWidth="1"/>
    <col min="3" max="3" width="16.28515625" customWidth="1"/>
    <col min="4" max="5" width="18.85546875" customWidth="1"/>
    <col min="6" max="7" width="15.5703125" customWidth="1"/>
    <col min="8" max="9" width="13.42578125" customWidth="1"/>
    <col min="10" max="11" width="18.85546875" customWidth="1"/>
    <col min="12" max="12" width="24.140625" customWidth="1"/>
    <col min="13" max="13" width="16" customWidth="1"/>
    <col min="14" max="17" width="18.85546875" customWidth="1"/>
  </cols>
  <sheetData>
    <row r="2" spans="2:12" s="7" customFormat="1" ht="15.75" x14ac:dyDescent="0.25"/>
    <row r="3" spans="2:12" s="7" customFormat="1" ht="15.75" x14ac:dyDescent="0.25"/>
    <row r="4" spans="2:12" s="7" customFormat="1" ht="15.75" x14ac:dyDescent="0.25"/>
    <row r="5" spans="2:12" s="7" customFormat="1" ht="15.75" x14ac:dyDescent="0.25"/>
    <row r="6" spans="2:12" s="7" customFormat="1" ht="15.75" x14ac:dyDescent="0.25"/>
    <row r="7" spans="2:12" s="7" customFormat="1" ht="15.75" x14ac:dyDescent="0.25"/>
    <row r="8" spans="2:12" s="7" customFormat="1" ht="15.75" x14ac:dyDescent="0.25"/>
    <row r="9" spans="2:12" s="7" customFormat="1" ht="15.75" x14ac:dyDescent="0.25"/>
    <row r="10" spans="2:12" s="7" customFormat="1" ht="15.75" x14ac:dyDescent="0.25"/>
    <row r="11" spans="2:12" s="7" customFormat="1" ht="15.75" x14ac:dyDescent="0.25"/>
    <row r="12" spans="2:12" s="7" customFormat="1" ht="15.75" x14ac:dyDescent="0.25"/>
    <row r="16" spans="2:12" ht="41.25" customHeight="1" x14ac:dyDescent="0.25">
      <c r="B16" s="120" t="s">
        <v>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</row>
    <row r="20" spans="1:17" s="1" customFormat="1" ht="92.25" customHeight="1" x14ac:dyDescent="0.25">
      <c r="A20" s="4" t="s">
        <v>0</v>
      </c>
      <c r="B20" s="4" t="s">
        <v>31</v>
      </c>
      <c r="C20" s="4" t="s">
        <v>16</v>
      </c>
      <c r="D20" s="4" t="s">
        <v>3</v>
      </c>
      <c r="E20" s="4" t="s">
        <v>4</v>
      </c>
      <c r="F20" s="4" t="s">
        <v>5</v>
      </c>
      <c r="G20" s="4" t="s">
        <v>6</v>
      </c>
      <c r="H20" s="4" t="s">
        <v>7</v>
      </c>
      <c r="I20" s="4" t="s">
        <v>8</v>
      </c>
      <c r="J20" s="4" t="s">
        <v>9</v>
      </c>
      <c r="K20" s="4" t="s">
        <v>43</v>
      </c>
      <c r="L20" s="4" t="s">
        <v>10</v>
      </c>
      <c r="M20" s="4" t="s">
        <v>1</v>
      </c>
      <c r="N20" s="4" t="s">
        <v>11</v>
      </c>
      <c r="O20" s="4" t="s">
        <v>12</v>
      </c>
      <c r="P20" s="4" t="s">
        <v>13</v>
      </c>
      <c r="Q20" s="4" t="s">
        <v>14</v>
      </c>
    </row>
    <row r="21" spans="1:17" s="3" customFormat="1" ht="29.25" customHeight="1" x14ac:dyDescent="0.25">
      <c r="A21" s="5">
        <v>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s="3" customFormat="1" ht="29.25" customHeight="1" x14ac:dyDescent="0.25">
      <c r="A22" s="5">
        <v>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s="3" customFormat="1" ht="29.25" customHeight="1" x14ac:dyDescent="0.25">
      <c r="A23" s="5">
        <v>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s="3" customFormat="1" ht="29.25" customHeight="1" x14ac:dyDescent="0.25">
      <c r="A24" s="5">
        <v>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s="3" customFormat="1" ht="29.25" customHeight="1" x14ac:dyDescent="0.25">
      <c r="A25" s="5">
        <v>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s="3" customFormat="1" ht="29.25" customHeight="1" x14ac:dyDescent="0.25">
      <c r="A26" s="5">
        <v>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s="3" customFormat="1" ht="29.25" customHeight="1" x14ac:dyDescent="0.25">
      <c r="A27" s="5">
        <v>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s="3" customFormat="1" ht="29.25" customHeight="1" x14ac:dyDescent="0.25">
      <c r="A28" s="5">
        <v>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s="3" customFormat="1" ht="29.25" customHeight="1" x14ac:dyDescent="0.25">
      <c r="A29" s="5">
        <v>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s="3" customFormat="1" ht="29.25" customHeight="1" x14ac:dyDescent="0.25">
      <c r="A30" s="5">
        <v>10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s="3" customFormat="1" ht="29.25" customHeight="1" x14ac:dyDescent="0.25">
      <c r="A31" s="5">
        <v>11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s="3" customFormat="1" ht="29.25" customHeight="1" x14ac:dyDescent="0.25">
      <c r="A32" s="5">
        <v>12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s="3" customFormat="1" ht="29.25" customHeight="1" x14ac:dyDescent="0.25">
      <c r="A33" s="5">
        <v>13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s="3" customFormat="1" ht="29.25" customHeight="1" x14ac:dyDescent="0.25">
      <c r="A34" s="5">
        <v>14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s="3" customFormat="1" ht="29.25" customHeight="1" x14ac:dyDescent="0.25">
      <c r="A35" s="5">
        <v>15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s="3" customFormat="1" ht="29.25" customHeight="1" x14ac:dyDescent="0.25">
      <c r="A36" s="5">
        <v>16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s="3" customFormat="1" ht="29.25" customHeight="1" x14ac:dyDescent="0.25">
      <c r="A37" s="5">
        <v>17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s="3" customFormat="1" ht="29.25" customHeight="1" x14ac:dyDescent="0.25">
      <c r="A38" s="5">
        <v>18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s="3" customFormat="1" ht="29.25" customHeight="1" x14ac:dyDescent="0.25">
      <c r="A39" s="5">
        <v>19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s="3" customFormat="1" ht="29.25" customHeight="1" x14ac:dyDescent="0.25">
      <c r="A40" s="5">
        <v>20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s="3" customFormat="1" ht="29.25" customHeight="1" x14ac:dyDescent="0.25">
      <c r="A41" s="5">
        <v>21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s="3" customFormat="1" ht="29.25" customHeight="1" x14ac:dyDescent="0.25">
      <c r="A42" s="5">
        <v>22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s="3" customFormat="1" ht="29.25" customHeight="1" x14ac:dyDescent="0.25">
      <c r="A43" s="5">
        <v>23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s="3" customFormat="1" ht="29.25" customHeight="1" x14ac:dyDescent="0.25">
      <c r="A44" s="5">
        <v>24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s="3" customFormat="1" ht="29.25" customHeight="1" x14ac:dyDescent="0.25">
      <c r="A45" s="5">
        <v>25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s="3" customFormat="1" ht="29.25" customHeight="1" x14ac:dyDescent="0.25">
      <c r="A46" s="5">
        <v>26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s="3" customFormat="1" ht="29.25" customHeight="1" x14ac:dyDescent="0.25">
      <c r="A47" s="5">
        <v>27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s="3" customFormat="1" ht="29.25" customHeight="1" x14ac:dyDescent="0.25">
      <c r="A48" s="5">
        <v>28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s="3" customFormat="1" ht="29.25" customHeight="1" x14ac:dyDescent="0.25">
      <c r="A49" s="5">
        <v>29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s="3" customFormat="1" ht="29.25" customHeight="1" x14ac:dyDescent="0.25">
      <c r="A50" s="5">
        <v>30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s="3" customFormat="1" ht="29.25" customHeight="1" x14ac:dyDescent="0.25">
      <c r="A51" s="5">
        <v>31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s="3" customFormat="1" ht="29.25" customHeight="1" x14ac:dyDescent="0.25">
      <c r="A52" s="5">
        <v>32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s="3" customFormat="1" ht="29.25" customHeight="1" x14ac:dyDescent="0.25">
      <c r="A53" s="5">
        <v>33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s="3" customFormat="1" ht="29.25" customHeight="1" x14ac:dyDescent="0.25">
      <c r="A54" s="5">
        <v>34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s="3" customFormat="1" ht="29.25" customHeight="1" x14ac:dyDescent="0.25">
      <c r="A55" s="5">
        <v>35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s="3" customFormat="1" ht="29.25" customHeight="1" x14ac:dyDescent="0.25">
      <c r="A56" s="5">
        <v>36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s="3" customFormat="1" ht="29.25" customHeight="1" x14ac:dyDescent="0.25">
      <c r="A57" s="5">
        <v>37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s="3" customFormat="1" ht="29.25" customHeight="1" x14ac:dyDescent="0.25">
      <c r="A58" s="5">
        <v>38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s="3" customFormat="1" ht="29.25" customHeight="1" x14ac:dyDescent="0.25">
      <c r="A59" s="5">
        <v>39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s="3" customFormat="1" ht="29.25" customHeight="1" x14ac:dyDescent="0.25">
      <c r="A60" s="5">
        <v>40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s="3" customFormat="1" ht="29.25" customHeight="1" x14ac:dyDescent="0.25">
      <c r="A61" s="5">
        <v>41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s="3" customFormat="1" ht="29.25" customHeight="1" x14ac:dyDescent="0.25">
      <c r="A62" s="5">
        <v>42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s="3" customFormat="1" ht="29.25" customHeight="1" x14ac:dyDescent="0.25">
      <c r="A63" s="5">
        <v>43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s="3" customFormat="1" ht="29.25" customHeight="1" x14ac:dyDescent="0.25">
      <c r="A64" s="5">
        <v>44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s="3" customFormat="1" ht="29.25" customHeight="1" x14ac:dyDescent="0.25">
      <c r="A65" s="5">
        <v>45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s="3" customFormat="1" ht="29.25" customHeight="1" x14ac:dyDescent="0.25">
      <c r="A66" s="5">
        <v>46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s="3" customFormat="1" ht="29.25" customHeight="1" x14ac:dyDescent="0.25">
      <c r="A67" s="5">
        <v>47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s="3" customFormat="1" ht="29.25" customHeight="1" x14ac:dyDescent="0.25">
      <c r="A68" s="5">
        <v>48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s="3" customFormat="1" ht="29.25" customHeight="1" x14ac:dyDescent="0.25">
      <c r="A69" s="5">
        <v>49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s="3" customFormat="1" ht="29.25" customHeight="1" x14ac:dyDescent="0.25">
      <c r="A70" s="5">
        <v>50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</sheetData>
  <mergeCells count="1">
    <mergeCell ref="B16:L16"/>
  </mergeCells>
  <pageMargins left="0.51181102362204722" right="0.51181102362204722" top="0.55118110236220474" bottom="0.55118110236220474" header="0.31496062992125984" footer="0.31496062992125984"/>
  <pageSetup paperSize="9" scale="6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zoomScale="170" zoomScaleNormal="170" workbookViewId="0">
      <selection activeCell="B10" sqref="B10"/>
    </sheetView>
  </sheetViews>
  <sheetFormatPr baseColWidth="10" defaultRowHeight="15" x14ac:dyDescent="0.25"/>
  <cols>
    <col min="1" max="1" width="5.28515625" customWidth="1"/>
    <col min="2" max="2" width="27.5703125" customWidth="1"/>
  </cols>
  <sheetData>
    <row r="1" spans="1:3" x14ac:dyDescent="0.25">
      <c r="A1" t="s">
        <v>15</v>
      </c>
    </row>
    <row r="5" spans="1:3" ht="30" customHeight="1" x14ac:dyDescent="0.25">
      <c r="A5" s="4" t="s">
        <v>0</v>
      </c>
      <c r="B5" s="4" t="s">
        <v>16</v>
      </c>
      <c r="C5" s="4"/>
    </row>
    <row r="6" spans="1:3" ht="30" customHeight="1" x14ac:dyDescent="0.25">
      <c r="A6" s="4">
        <v>1</v>
      </c>
      <c r="B6" s="6" t="s">
        <v>17</v>
      </c>
      <c r="C6" s="4"/>
    </row>
    <row r="7" spans="1:3" ht="30" customHeight="1" x14ac:dyDescent="0.25">
      <c r="A7" s="4">
        <v>2</v>
      </c>
      <c r="B7" s="6" t="s">
        <v>18</v>
      </c>
      <c r="C7" s="4"/>
    </row>
    <row r="8" spans="1:3" ht="30" customHeight="1" x14ac:dyDescent="0.25">
      <c r="A8" s="4">
        <v>3</v>
      </c>
      <c r="B8" s="6" t="s">
        <v>19</v>
      </c>
      <c r="C8" s="4"/>
    </row>
    <row r="9" spans="1:3" ht="30" customHeight="1" x14ac:dyDescent="0.25">
      <c r="A9" s="4">
        <v>4</v>
      </c>
      <c r="B9" s="6" t="s">
        <v>20</v>
      </c>
      <c r="C9" s="4"/>
    </row>
    <row r="10" spans="1:3" ht="30" customHeight="1" x14ac:dyDescent="0.25">
      <c r="A10" s="4">
        <v>5</v>
      </c>
      <c r="B10" s="6" t="s">
        <v>21</v>
      </c>
      <c r="C10" s="4"/>
    </row>
    <row r="11" spans="1:3" ht="30" customHeight="1" x14ac:dyDescent="0.25">
      <c r="A11" s="4">
        <v>6</v>
      </c>
      <c r="B11" s="6" t="s">
        <v>22</v>
      </c>
      <c r="C11" s="4"/>
    </row>
    <row r="12" spans="1:3" ht="30" customHeight="1" x14ac:dyDescent="0.25">
      <c r="A12" s="4">
        <v>7</v>
      </c>
      <c r="B12" s="6" t="s">
        <v>23</v>
      </c>
      <c r="C12" s="4"/>
    </row>
    <row r="13" spans="1:3" ht="30" customHeight="1" x14ac:dyDescent="0.25">
      <c r="A13" s="4">
        <v>8</v>
      </c>
      <c r="B13" s="6" t="s">
        <v>24</v>
      </c>
      <c r="C13" s="4"/>
    </row>
    <row r="14" spans="1:3" ht="30" customHeight="1" x14ac:dyDescent="0.25">
      <c r="A14" s="4">
        <v>9</v>
      </c>
      <c r="B14" s="6" t="s">
        <v>25</v>
      </c>
      <c r="C14" s="4"/>
    </row>
    <row r="15" spans="1:3" ht="30" customHeight="1" x14ac:dyDescent="0.25">
      <c r="A15" s="4">
        <v>10</v>
      </c>
      <c r="B15" s="6" t="s">
        <v>26</v>
      </c>
      <c r="C15" s="4"/>
    </row>
    <row r="16" spans="1:3" ht="30" customHeight="1" x14ac:dyDescent="0.25">
      <c r="A16" s="4">
        <v>11</v>
      </c>
      <c r="B16" s="6" t="s">
        <v>27</v>
      </c>
      <c r="C16" s="4"/>
    </row>
    <row r="17" spans="1:3" ht="30" customHeight="1" x14ac:dyDescent="0.25">
      <c r="A17" s="4">
        <v>12</v>
      </c>
      <c r="B17" s="6" t="s">
        <v>28</v>
      </c>
      <c r="C17" s="4"/>
    </row>
    <row r="18" spans="1:3" ht="30" customHeight="1" x14ac:dyDescent="0.25">
      <c r="A18" s="4">
        <v>13</v>
      </c>
      <c r="B18" s="6" t="s">
        <v>29</v>
      </c>
      <c r="C18" s="4"/>
    </row>
    <row r="19" spans="1:3" ht="30" customHeight="1" x14ac:dyDescent="0.25">
      <c r="A19" s="4">
        <v>14</v>
      </c>
      <c r="B19" s="6" t="s">
        <v>30</v>
      </c>
      <c r="C19" s="4"/>
    </row>
    <row r="20" spans="1:3" ht="30" customHeight="1" x14ac:dyDescent="0.25">
      <c r="A20" s="4"/>
      <c r="B20" s="6"/>
      <c r="C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Dépôt produits</vt:lpstr>
      <vt:lpstr>LISTE OCCUPANTS</vt:lpstr>
      <vt:lpstr>Feuil1</vt:lpstr>
      <vt:lpstr>à imprimer</vt:lpstr>
      <vt:lpstr>SECTEUR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2026-07-20T09:38:02Z</dcterms:modified>
</cp:coreProperties>
</file>