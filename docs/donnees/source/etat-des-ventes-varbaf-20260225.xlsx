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ALNER TECH\Pictures\"/>
    </mc:Choice>
  </mc:AlternateContent>
  <xr:revisionPtr revIDLastSave="0" documentId="8_{3AACD0FF-EDB9-4956-A595-C64C6EED7A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ENTES" sheetId="2" r:id="rId1"/>
    <sheet name="COMM SUR VENTES" sheetId="6" r:id="rId2"/>
    <sheet name="CAISSE" sheetId="7" r:id="rId3"/>
    <sheet name="RECAP MONTANTS" sheetId="3" r:id="rId4"/>
  </sheets>
  <definedNames>
    <definedName name="_xlnm._FilterDatabase" localSheetId="0" hidden="1">VENTES!$A$3:$F$624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7" i="6" l="1"/>
  <c r="E6" i="3"/>
  <c r="F6" i="3" s="1"/>
  <c r="E15" i="3" l="1"/>
  <c r="F15" i="3"/>
  <c r="E10" i="3" l="1"/>
  <c r="F10" i="3" s="1"/>
  <c r="E19" i="3" l="1"/>
  <c r="F19" i="3" s="1"/>
  <c r="E5" i="3" l="1"/>
  <c r="F5" i="3" s="1"/>
  <c r="C23" i="7" l="1"/>
  <c r="E2" i="3" l="1"/>
  <c r="F2" i="3" s="1"/>
  <c r="E17" i="3" l="1"/>
  <c r="F17" i="3" s="1"/>
  <c r="E13" i="3" l="1"/>
  <c r="F13" i="3" s="1"/>
  <c r="E3" i="3" l="1"/>
  <c r="F3" i="3" s="1"/>
  <c r="E18" i="3" l="1"/>
  <c r="F18" i="3" s="1"/>
  <c r="E7" i="3" l="1"/>
  <c r="F7" i="3" s="1"/>
  <c r="E16" i="3" l="1"/>
  <c r="F16" i="3" s="1"/>
  <c r="E4" i="3"/>
  <c r="F4" i="3" s="1"/>
  <c r="E9" i="3" l="1"/>
  <c r="F9" i="3" s="1"/>
  <c r="D107" i="6" l="1"/>
  <c r="E11" i="3" l="1"/>
  <c r="F11" i="3" s="1"/>
  <c r="E20" i="3" l="1"/>
  <c r="F20" i="3" s="1"/>
  <c r="E12" i="3" l="1"/>
  <c r="F12" i="3" s="1"/>
  <c r="C7" i="7" l="1"/>
  <c r="E14" i="3" l="1"/>
  <c r="F14" i="3" s="1"/>
  <c r="D21" i="3" l="1"/>
  <c r="C6" i="7" l="1"/>
  <c r="E8" i="3" l="1"/>
  <c r="C9" i="7" l="1"/>
  <c r="F8" i="3" l="1"/>
  <c r="C4" i="7" l="1"/>
  <c r="C5" i="7"/>
  <c r="C8" i="7"/>
  <c r="C10" i="7"/>
  <c r="C11" i="7"/>
  <c r="C3" i="7"/>
  <c r="C12" i="7" l="1"/>
  <c r="C14" i="7" s="1"/>
  <c r="C16" i="7" l="1"/>
  <c r="G622" i="2" l="1"/>
  <c r="G624" i="2" s="1"/>
  <c r="E169" i="2" l="1"/>
  <c r="E147" i="2"/>
  <c r="E21" i="3" l="1"/>
  <c r="E5" i="2"/>
  <c r="F21" i="3" l="1"/>
  <c r="C127" i="2"/>
  <c r="E127" i="2" s="1"/>
  <c r="C105" i="2"/>
  <c r="E105" i="2" s="1"/>
  <c r="C78" i="2"/>
  <c r="E78" i="2" s="1"/>
  <c r="C58" i="2"/>
  <c r="E58" i="2" s="1"/>
  <c r="C45" i="2"/>
  <c r="E45" i="2" s="1"/>
  <c r="C33" i="2"/>
  <c r="E33" i="2" s="1"/>
  <c r="C24" i="2"/>
  <c r="E24" i="2" s="1"/>
  <c r="C21" i="2"/>
  <c r="E21" i="2" s="1"/>
  <c r="C18" i="2"/>
  <c r="E18" i="2" s="1"/>
  <c r="C16" i="2"/>
  <c r="E16" i="2" s="1"/>
  <c r="C13" i="2"/>
  <c r="E13" i="2" s="1"/>
  <c r="E4" i="2"/>
</calcChain>
</file>

<file path=xl/sharedStrings.xml><?xml version="1.0" encoding="utf-8"?>
<sst xmlns="http://schemas.openxmlformats.org/spreadsheetml/2006/main" count="2115" uniqueCount="571">
  <si>
    <t>biscuit</t>
  </si>
  <si>
    <t>miel Nord ouest</t>
  </si>
  <si>
    <t>Hall</t>
  </si>
  <si>
    <t>farine patate</t>
  </si>
  <si>
    <t>chemise</t>
  </si>
  <si>
    <t>chic décor</t>
  </si>
  <si>
    <t>bandeau</t>
  </si>
  <si>
    <t>porteclé en bois</t>
  </si>
  <si>
    <t>bracelet</t>
  </si>
  <si>
    <t>ouvre bière</t>
  </si>
  <si>
    <t>thé camomille</t>
  </si>
  <si>
    <t>anti poison</t>
  </si>
  <si>
    <t>charbon végétal</t>
  </si>
  <si>
    <t>Djoko pokam alex</t>
  </si>
  <si>
    <t>chaussure</t>
  </si>
  <si>
    <t>shoes factory</t>
  </si>
  <si>
    <t>beurre de karité</t>
  </si>
  <si>
    <t xml:space="preserve">ginseng </t>
  </si>
  <si>
    <t xml:space="preserve">bracelet </t>
  </si>
  <si>
    <t>géraldine</t>
  </si>
  <si>
    <t xml:space="preserve">collier perle </t>
  </si>
  <si>
    <t>anti,,,</t>
  </si>
  <si>
    <t>djoko pokam alex</t>
  </si>
  <si>
    <t xml:space="preserve">médicament </t>
  </si>
  <si>
    <t>beurre karité</t>
  </si>
  <si>
    <t>charbon active</t>
  </si>
  <si>
    <t>tableau</t>
  </si>
  <si>
    <t>chapeau</t>
  </si>
  <si>
    <t>mambou claude</t>
  </si>
  <si>
    <t>détergent sachet</t>
  </si>
  <si>
    <t>madi cosmétique</t>
  </si>
  <si>
    <t xml:space="preserve">lave vitre </t>
  </si>
  <si>
    <t xml:space="preserve">détergent </t>
  </si>
  <si>
    <t>savon noir</t>
  </si>
  <si>
    <t>césame</t>
  </si>
  <si>
    <t>ginseng</t>
  </si>
  <si>
    <t>détergent</t>
  </si>
  <si>
    <t>savon hibiscus</t>
  </si>
  <si>
    <t>collier ndop</t>
  </si>
  <si>
    <t>mme djoko</t>
  </si>
  <si>
    <t>queue cheval</t>
  </si>
  <si>
    <t>sac</t>
  </si>
  <si>
    <t>chapeau fil</t>
  </si>
  <si>
    <t>menthol</t>
  </si>
  <si>
    <t>floralis</t>
  </si>
  <si>
    <t xml:space="preserve">croquette </t>
  </si>
  <si>
    <t>vinaigre</t>
  </si>
  <si>
    <t>gingembre</t>
  </si>
  <si>
    <t>savon liquide</t>
  </si>
  <si>
    <t>barette</t>
  </si>
  <si>
    <t>pygeum</t>
  </si>
  <si>
    <t>épice titi bio</t>
  </si>
  <si>
    <t>titi bio</t>
  </si>
  <si>
    <t>biscuit de manioc</t>
  </si>
  <si>
    <t>ngassam crousti</t>
  </si>
  <si>
    <t>biscuit de patate</t>
  </si>
  <si>
    <t>eau de javel</t>
  </si>
  <si>
    <t>biscuit patate</t>
  </si>
  <si>
    <t>artémisia</t>
  </si>
  <si>
    <t>curcuma</t>
  </si>
  <si>
    <t xml:space="preserve">chapeau </t>
  </si>
  <si>
    <t xml:space="preserve">masque </t>
  </si>
  <si>
    <t>Mouliom</t>
  </si>
  <si>
    <t>bague</t>
  </si>
  <si>
    <t>collier</t>
  </si>
  <si>
    <t>cloche + porte bougie</t>
  </si>
  <si>
    <t>whiscky sachet</t>
  </si>
  <si>
    <t>nguekam philippe</t>
  </si>
  <si>
    <t>pannier</t>
  </si>
  <si>
    <t>boubou</t>
  </si>
  <si>
    <t xml:space="preserve">collier + boucle </t>
  </si>
  <si>
    <t>vin de bita cola</t>
  </si>
  <si>
    <t>MOIS</t>
  </si>
  <si>
    <t>DESIGNATION</t>
  </si>
  <si>
    <t>MONTANT</t>
  </si>
  <si>
    <t>NOM ARTISAN</t>
  </si>
  <si>
    <t>sac en paille</t>
  </si>
  <si>
    <t>chapeau en paille</t>
  </si>
  <si>
    <t>babouche</t>
  </si>
  <si>
    <t>OBSERVATIONS</t>
  </si>
  <si>
    <t>TOTAL MAI 25</t>
  </si>
  <si>
    <t>TOTAL AVRIL 25</t>
  </si>
  <si>
    <t>TOTAL AOUT 24</t>
  </si>
  <si>
    <t>TOTAL SEPT 24</t>
  </si>
  <si>
    <t>TOTAL OCT 24</t>
  </si>
  <si>
    <t>TOTAL NOV 24</t>
  </si>
  <si>
    <t>TOTAL DEC 24</t>
  </si>
  <si>
    <t>TOTAL JANV 25</t>
  </si>
  <si>
    <t>TOTAL FEV 25</t>
  </si>
  <si>
    <t>TOTAL MARS 25</t>
  </si>
  <si>
    <t>LISTE DES VENTES REALISEES AU VARBAF DE MAI 2024 AU 13 JUIN 2025</t>
  </si>
  <si>
    <t>N°</t>
  </si>
  <si>
    <t>NOMS ET PRENOMS</t>
  </si>
  <si>
    <t>NGASSAM (Crousti D)</t>
  </si>
  <si>
    <t>Chic décor</t>
  </si>
  <si>
    <t>Floralis</t>
  </si>
  <si>
    <t>Madi cosmétique</t>
  </si>
  <si>
    <t>Mambou Claude</t>
  </si>
  <si>
    <t>Mme DJOKO</t>
  </si>
  <si>
    <t>Mouliom Ibrahim</t>
  </si>
  <si>
    <t>NGUEKAM Philippe</t>
  </si>
  <si>
    <t>Mme Sidonie</t>
  </si>
  <si>
    <t xml:space="preserve">SONWA Stéphane </t>
  </si>
  <si>
    <t>TITI BIO</t>
  </si>
  <si>
    <t>TCHOMTCHOUA LELE Fadimatou</t>
  </si>
  <si>
    <t>Artisan inconnu</t>
  </si>
  <si>
    <t>Eventail</t>
  </si>
  <si>
    <t>NET A PERCEVOIR</t>
  </si>
  <si>
    <t>ok 19/06/2025</t>
  </si>
  <si>
    <t xml:space="preserve">TOTAL </t>
  </si>
  <si>
    <t>20/06/2025 RNF</t>
  </si>
  <si>
    <t>TOTAL JUIN 25 (SOID)</t>
  </si>
  <si>
    <t>Eau de javel</t>
  </si>
  <si>
    <t>Huile de coco</t>
  </si>
  <si>
    <t>Spécial baume</t>
  </si>
  <si>
    <t>cure typhoide</t>
  </si>
  <si>
    <t>Ngassam Crousti</t>
  </si>
  <si>
    <t>Ngassam crousti</t>
  </si>
  <si>
    <t>Mambou claude</t>
  </si>
  <si>
    <t>écharpe en perles</t>
  </si>
  <si>
    <t>23/06/25 par Mme GUESSONG</t>
  </si>
  <si>
    <t>songo</t>
  </si>
  <si>
    <t>Mintchougom Sidonie</t>
  </si>
  <si>
    <t>Mme TCHANOU +5000 reste cas avec Esther</t>
  </si>
  <si>
    <t xml:space="preserve">savon </t>
  </si>
  <si>
    <t>tableau de décoration</t>
  </si>
  <si>
    <t>Jus de fruit</t>
  </si>
  <si>
    <t>Nokam dorine</t>
  </si>
  <si>
    <t>Miel bangou</t>
  </si>
  <si>
    <t>Vin de djindja</t>
  </si>
  <si>
    <t>Jonas</t>
  </si>
  <si>
    <t>vin bita cola</t>
  </si>
  <si>
    <t xml:space="preserve">miel </t>
  </si>
  <si>
    <t>Guy Marcel</t>
  </si>
  <si>
    <t>Bol en bois</t>
  </si>
  <si>
    <t>biscuits</t>
  </si>
  <si>
    <t xml:space="preserve">Ets SAYA désiré </t>
  </si>
  <si>
    <t>Cookies manioc</t>
  </si>
  <si>
    <t>Cookies manioc, biscuit, choco</t>
  </si>
  <si>
    <t>objet en bois</t>
  </si>
  <si>
    <t>statuette en bois</t>
  </si>
  <si>
    <t>Payé le 15/07/2025</t>
  </si>
  <si>
    <t>Mme Tchanou</t>
  </si>
  <si>
    <t>MONTANT DES COMMISSIONS RETENUES SUR VENTES</t>
  </si>
  <si>
    <t>MONTANT VENTE</t>
  </si>
  <si>
    <t>COMMISSION</t>
  </si>
  <si>
    <t>TOTAL</t>
  </si>
  <si>
    <t>DATES DECHARGE</t>
  </si>
  <si>
    <t>Kondzou Thomas</t>
  </si>
  <si>
    <t>Mme Justina</t>
  </si>
  <si>
    <t>Mme Dongmo thérèse</t>
  </si>
  <si>
    <t xml:space="preserve">Mouliom </t>
  </si>
  <si>
    <t>Nguekam Philippe</t>
  </si>
  <si>
    <t>10/07/2025 par Mme Guessong</t>
  </si>
  <si>
    <t>Tchinda Sokoudjou</t>
  </si>
  <si>
    <t>Payé le 02/07/2025</t>
  </si>
  <si>
    <t>Mika perles ( T Fideline)</t>
  </si>
  <si>
    <t>Stéphane SONWA</t>
  </si>
  <si>
    <t xml:space="preserve">Mme TCHANOU </t>
  </si>
  <si>
    <t>KONDZOU THOMAS</t>
  </si>
  <si>
    <t>16/07/2025 RNF</t>
  </si>
  <si>
    <t>DONGMO Thérèse</t>
  </si>
  <si>
    <t>Payé le 17/07/2025</t>
  </si>
  <si>
    <t>17/06/2025 RNF</t>
  </si>
  <si>
    <t>Chinda sokoudjou</t>
  </si>
  <si>
    <t>Chinda Sokoudjou</t>
  </si>
  <si>
    <t>17/07/2025 par Mme Guessong</t>
  </si>
  <si>
    <t>le 17/07/2025 par Mme Guessong</t>
  </si>
  <si>
    <t>Payé le 18/07/2025</t>
  </si>
  <si>
    <t>Reste à Payer</t>
  </si>
  <si>
    <t xml:space="preserve">Croquette </t>
  </si>
  <si>
    <t>Cookies de manioc</t>
  </si>
  <si>
    <t>Miel</t>
  </si>
  <si>
    <t>Vin thérapeutique</t>
  </si>
  <si>
    <t>Pot</t>
  </si>
  <si>
    <t>Tige de fleur</t>
  </si>
  <si>
    <t>VARBamenda</t>
  </si>
  <si>
    <t>Payé le 21/07/2025</t>
  </si>
  <si>
    <t>Payé le22/07/2025</t>
  </si>
  <si>
    <t>Floralis (écart de 2800)</t>
  </si>
  <si>
    <t>Jus naturel</t>
  </si>
  <si>
    <t>Savon et détergent</t>
  </si>
  <si>
    <t>Vin</t>
  </si>
  <si>
    <t xml:space="preserve">Tableau de décoration </t>
  </si>
  <si>
    <t xml:space="preserve">Porte clé </t>
  </si>
  <si>
    <t>Chips de manioc</t>
  </si>
  <si>
    <t>poudre d'ail</t>
  </si>
  <si>
    <t>KEMTA</t>
  </si>
  <si>
    <t>Payé le 29/07/2025 Mme Guessong</t>
  </si>
  <si>
    <t>M KEMTA (Mme Guessong)</t>
  </si>
  <si>
    <t>tableau décoration</t>
  </si>
  <si>
    <t>Payé le 30/07/2025</t>
  </si>
  <si>
    <t>6000 RNF</t>
  </si>
  <si>
    <t>Payé le 30/07/2025 Mme Guessong RNF</t>
  </si>
  <si>
    <t>Yonka Marcel (Mme Guessong RNF)</t>
  </si>
  <si>
    <t>Djoko Pokam Alex</t>
  </si>
  <si>
    <t>Antigastrique</t>
  </si>
  <si>
    <t>Gingembre</t>
  </si>
  <si>
    <t>Rhumargo</t>
  </si>
  <si>
    <t>Thé</t>
  </si>
  <si>
    <t>Produit</t>
  </si>
  <si>
    <t>Propolis</t>
  </si>
  <si>
    <t>Man power</t>
  </si>
  <si>
    <t>TSANMAT</t>
  </si>
  <si>
    <t>MOUTAPMBEME Jonas</t>
  </si>
  <si>
    <t>Mme GUESSONG</t>
  </si>
  <si>
    <t>Payé le 31/07/2025</t>
  </si>
  <si>
    <t>Mika perles (Tidjou Fideline)</t>
  </si>
  <si>
    <t>Boucle</t>
  </si>
  <si>
    <t>Bracelet</t>
  </si>
  <si>
    <t>Bague</t>
  </si>
  <si>
    <t>vin d'ail</t>
  </si>
  <si>
    <t>Bijou</t>
  </si>
  <si>
    <t>sac en perle</t>
  </si>
  <si>
    <t xml:space="preserve">Payé le 30/07/2025 à Mme Guessong </t>
  </si>
  <si>
    <t>huile d'avocat</t>
  </si>
  <si>
    <t>Mme Mboulé</t>
  </si>
  <si>
    <t>miel</t>
  </si>
  <si>
    <t>colier</t>
  </si>
  <si>
    <t>support téléphone</t>
  </si>
  <si>
    <t>caisse en bambou de chine</t>
  </si>
  <si>
    <t xml:space="preserve"> </t>
  </si>
  <si>
    <t>Payé le 25/08/2025</t>
  </si>
  <si>
    <t>Vin d'avocat</t>
  </si>
  <si>
    <t>Biscuit manioc</t>
  </si>
  <si>
    <t>cookies de manioc</t>
  </si>
  <si>
    <t>Vin d'avaocat</t>
  </si>
  <si>
    <t>Curcuma</t>
  </si>
  <si>
    <t xml:space="preserve">Piment </t>
  </si>
  <si>
    <t xml:space="preserve">Chaise </t>
  </si>
  <si>
    <t>Tableau décoration</t>
  </si>
  <si>
    <t>vin d'avocat</t>
  </si>
  <si>
    <t>clou de giroffle</t>
  </si>
  <si>
    <t>vin de cola</t>
  </si>
  <si>
    <t>DJOKO POKAM Alex</t>
  </si>
  <si>
    <t>Payé le 28/08/2025</t>
  </si>
  <si>
    <t xml:space="preserve">        </t>
  </si>
  <si>
    <t xml:space="preserve">Cookies </t>
  </si>
  <si>
    <t>vin de bita cola et cola</t>
  </si>
  <si>
    <t xml:space="preserve">cookies </t>
  </si>
  <si>
    <t>osplame salle innovation</t>
  </si>
  <si>
    <t>Mme GUESSONG(payé le 01/09/25)</t>
  </si>
  <si>
    <t>Biscuit de manioc</t>
  </si>
  <si>
    <t>COUPURES</t>
  </si>
  <si>
    <t>QTE</t>
  </si>
  <si>
    <t>Total en caisse</t>
  </si>
  <si>
    <t>Total avoirs</t>
  </si>
  <si>
    <t>Détergent liquide</t>
  </si>
  <si>
    <t>Payé le 03/09/2025</t>
  </si>
  <si>
    <t xml:space="preserve">Différence </t>
  </si>
  <si>
    <t xml:space="preserve">      </t>
  </si>
  <si>
    <t>Payé le 04/09/2025</t>
  </si>
  <si>
    <t>Total des avoirs</t>
  </si>
  <si>
    <t>Mme MBOULE</t>
  </si>
  <si>
    <t xml:space="preserve">Mme Mboulé </t>
  </si>
  <si>
    <t>Payé le 05/09/2025</t>
  </si>
  <si>
    <t>SOH</t>
  </si>
  <si>
    <t xml:space="preserve"> un carton </t>
  </si>
  <si>
    <t>Deux manches en bois</t>
  </si>
  <si>
    <t xml:space="preserve">Savon noir </t>
  </si>
  <si>
    <t xml:space="preserve">savon liquide </t>
  </si>
  <si>
    <t>% ventes</t>
  </si>
  <si>
    <t>Sac à main</t>
  </si>
  <si>
    <t>Plateau en bois</t>
  </si>
  <si>
    <t>M SOH</t>
  </si>
  <si>
    <t>Carton et manche en bois</t>
  </si>
  <si>
    <t>Payé le 18/09/2025</t>
  </si>
  <si>
    <t xml:space="preserve">   </t>
  </si>
  <si>
    <t xml:space="preserve"> TOTAL</t>
  </si>
  <si>
    <t>Shampoing cosmétique</t>
  </si>
  <si>
    <t>Ships de manioc</t>
  </si>
  <si>
    <t>miel blanc</t>
  </si>
  <si>
    <t>miel brun</t>
  </si>
  <si>
    <t>SOLISTA</t>
  </si>
  <si>
    <t>SITUATION CAISSE</t>
  </si>
  <si>
    <t>Chapeau Ndop</t>
  </si>
  <si>
    <t>RNF le 27/09/2025</t>
  </si>
  <si>
    <t>RNF</t>
  </si>
  <si>
    <t>Payé le 02/10/25 au fils</t>
  </si>
  <si>
    <t xml:space="preserve">       </t>
  </si>
  <si>
    <t>Cure diabète</t>
  </si>
  <si>
    <t>Babouche</t>
  </si>
  <si>
    <t>lait éclaircissant</t>
  </si>
  <si>
    <t>miel bangou</t>
  </si>
  <si>
    <t xml:space="preserve">colier </t>
  </si>
  <si>
    <t>MBIAKOP</t>
  </si>
  <si>
    <t>boucles</t>
  </si>
  <si>
    <t>Payé le 09/10/2025</t>
  </si>
  <si>
    <t>Payé le 10/10/2025</t>
  </si>
  <si>
    <t>Payé le 20/10/2025</t>
  </si>
  <si>
    <t>Payé le 20/10/2025 Mme Guessong</t>
  </si>
  <si>
    <t>Mme Justina (Guessong)</t>
  </si>
  <si>
    <t>6000RNF</t>
  </si>
  <si>
    <t>le 20/10/2025 par Mme Guessong</t>
  </si>
  <si>
    <t>payé le 20/10/2025 à Mme Guessong</t>
  </si>
  <si>
    <t>Mme Solange MANGUE</t>
  </si>
  <si>
    <t>Payé le 20/10/2025 à Mme Guessong</t>
  </si>
  <si>
    <t>Payé le 20/10/2025 au Coordonnateur</t>
  </si>
  <si>
    <t>VAR Bamenda (Coordo)</t>
  </si>
  <si>
    <t>Guy Marcel (Mme Guessong)</t>
  </si>
  <si>
    <t>Mme MBOULE (Mme Guessong)</t>
  </si>
  <si>
    <t>Mme Solange MANGUE (Mme Guessong)</t>
  </si>
  <si>
    <t>Mme Géraldine (Mme Guessong)</t>
  </si>
  <si>
    <t>Payé le 21/10/2025</t>
  </si>
  <si>
    <t>Payé le 22/10/2025 à Mme Guessong</t>
  </si>
  <si>
    <t>TSANMAT (Mme Guessong)</t>
  </si>
  <si>
    <t xml:space="preserve">Ets SAYA Désiré </t>
  </si>
  <si>
    <t>cure diabete</t>
  </si>
  <si>
    <t xml:space="preserve">Baume </t>
  </si>
  <si>
    <t>pendule</t>
  </si>
  <si>
    <t>Tabouret bambou</t>
  </si>
  <si>
    <t>Kuemi Jacob</t>
  </si>
  <si>
    <t>Miel brun</t>
  </si>
  <si>
    <t>KUEMI Jacob</t>
  </si>
  <si>
    <t>Gastri stop</t>
  </si>
  <si>
    <t>Payé le 05/11/2025 au fils</t>
  </si>
  <si>
    <t>Floralis (Fils)</t>
  </si>
  <si>
    <t>Miel blanc</t>
  </si>
  <si>
    <t>Payé le 11/11/2025 au Coordonnateur</t>
  </si>
  <si>
    <t>tabouret en bambou</t>
  </si>
  <si>
    <t>Détergent</t>
  </si>
  <si>
    <t xml:space="preserve">Payé en main propre </t>
  </si>
  <si>
    <t>cure anti cancéreuse</t>
  </si>
  <si>
    <t>anti douleur</t>
  </si>
  <si>
    <t>Payé</t>
  </si>
  <si>
    <t>Payé le 01/09/25</t>
  </si>
  <si>
    <t>Lait de toilette</t>
  </si>
  <si>
    <t>Payé le 20/11/2025</t>
  </si>
  <si>
    <t>Payé le 21/11/2025</t>
  </si>
  <si>
    <t>Payé le 24/11/2025</t>
  </si>
  <si>
    <t>Nguekam philippe</t>
  </si>
  <si>
    <t>Vin de gingembre</t>
  </si>
  <si>
    <t>DATE</t>
  </si>
  <si>
    <t>Total net</t>
  </si>
  <si>
    <t>DECHARGE (SIGNATURE)</t>
  </si>
  <si>
    <t>PRODUITS/OBJETS</t>
  </si>
  <si>
    <t>Lait éclaircissant</t>
  </si>
  <si>
    <t>Baume sécheresse lèvres</t>
  </si>
  <si>
    <t>Tabouret en perles</t>
  </si>
  <si>
    <t>boucle</t>
  </si>
  <si>
    <t>petit sac en perle</t>
  </si>
  <si>
    <t>bracelets</t>
  </si>
  <si>
    <t>boucles d'oreilles</t>
  </si>
  <si>
    <t>Baume</t>
  </si>
  <si>
    <t xml:space="preserve">vinaigre blanc </t>
  </si>
  <si>
    <t>vinaigre 1/2l</t>
  </si>
  <si>
    <t xml:space="preserve">biscuit patate </t>
  </si>
  <si>
    <t>chips de pomme</t>
  </si>
  <si>
    <t>Payé le 18/12/2025 au Coordonnateur</t>
  </si>
  <si>
    <t>Chapeau en fibre raphia</t>
  </si>
  <si>
    <t>petit sac en fibre raphia</t>
  </si>
  <si>
    <t>Décoration murale</t>
  </si>
  <si>
    <t>Payé le 22/12/2025</t>
  </si>
  <si>
    <t>bracelets en perle</t>
  </si>
  <si>
    <t>porte clés</t>
  </si>
  <si>
    <t>miel blanc et brun</t>
  </si>
  <si>
    <t>piment bangou</t>
  </si>
  <si>
    <t xml:space="preserve">Porte stylos </t>
  </si>
  <si>
    <t>Stylos</t>
  </si>
  <si>
    <t>Porte téléphone</t>
  </si>
  <si>
    <t>Chips de mais</t>
  </si>
  <si>
    <t>chips de manioc</t>
  </si>
  <si>
    <t xml:space="preserve">caramel </t>
  </si>
  <si>
    <t>chips de mais</t>
  </si>
  <si>
    <t xml:space="preserve">Chips de maîs </t>
  </si>
  <si>
    <t>Payé le 29/12/2025</t>
  </si>
  <si>
    <t>Payé le 26/12/2025</t>
  </si>
  <si>
    <t>Payé le 29/12/2025 à Mme Guessong</t>
  </si>
  <si>
    <t>payé le 29/12/2025 à Mme Guessong</t>
  </si>
  <si>
    <t>Payé le 29/12/25 à Mme Guessong</t>
  </si>
  <si>
    <t xml:space="preserve">chips de maîs </t>
  </si>
  <si>
    <t>savon en boite</t>
  </si>
  <si>
    <t>Jus oseille</t>
  </si>
  <si>
    <t>croquettes</t>
  </si>
  <si>
    <t>mme Mboulé</t>
  </si>
  <si>
    <t>Payé le 31/12/2025</t>
  </si>
  <si>
    <t>Payé le 02/01/2026</t>
  </si>
  <si>
    <t>Liqueur de cacao</t>
  </si>
  <si>
    <t>sirop fer calcium</t>
  </si>
  <si>
    <t>baume multi plante</t>
  </si>
  <si>
    <t>paquet de louche</t>
  </si>
  <si>
    <t>bouteille croquettes</t>
  </si>
  <si>
    <t>Payé le 06/01/2025 à la fille</t>
  </si>
  <si>
    <t>Liqueur de cacao pti modèle</t>
  </si>
  <si>
    <t>Pommade multiplante</t>
  </si>
  <si>
    <t>Sirop africain</t>
  </si>
  <si>
    <t xml:space="preserve">Croquettes </t>
  </si>
  <si>
    <t>Ngassam Olivier</t>
  </si>
  <si>
    <t>Payé le 16/01/2026</t>
  </si>
  <si>
    <t>Payé le 16/01/2025</t>
  </si>
  <si>
    <t>Payé le 16/01/2026 à Mme Guessong</t>
  </si>
  <si>
    <t xml:space="preserve">madi cosmétique </t>
  </si>
  <si>
    <t>Payé le 16/01/2026 à Mme GUESSONG</t>
  </si>
  <si>
    <t>Porte clés</t>
  </si>
  <si>
    <t>café rapha</t>
  </si>
  <si>
    <t>Mme mboulé</t>
  </si>
  <si>
    <t>féves cacao</t>
  </si>
  <si>
    <t>Pygeum africanum cure prostate</t>
  </si>
  <si>
    <t>Pygeum africana</t>
  </si>
  <si>
    <t>la tour des rois</t>
  </si>
  <si>
    <t>moelleux aux champignons</t>
  </si>
  <si>
    <t>masques</t>
  </si>
  <si>
    <t>mouliom ibrahim</t>
  </si>
  <si>
    <t>chaine en perles</t>
  </si>
  <si>
    <t>chips plantain</t>
  </si>
  <si>
    <t>Louche en paquet</t>
  </si>
  <si>
    <t>louche simple</t>
  </si>
  <si>
    <t>caramel cacao</t>
  </si>
  <si>
    <t>plateaux en fibre raphia</t>
  </si>
  <si>
    <t>collier en bambou de chine</t>
  </si>
  <si>
    <t xml:space="preserve">    </t>
  </si>
  <si>
    <t>Cameroun sculpté</t>
  </si>
  <si>
    <t xml:space="preserve">Payé le 21/10/2025 </t>
  </si>
  <si>
    <t>sirop multi usage</t>
  </si>
  <si>
    <t>charbon végetal</t>
  </si>
  <si>
    <t>Caramel de cacao</t>
  </si>
  <si>
    <t>Miel bangou 850kg</t>
  </si>
  <si>
    <t>Miel bangou 650Kg</t>
  </si>
  <si>
    <t>Vin de bita cola</t>
  </si>
  <si>
    <t>eau de javel 5l</t>
  </si>
  <si>
    <t>Croquette</t>
  </si>
  <si>
    <t>Porte clés bambou de chine</t>
  </si>
  <si>
    <t>Croquettes</t>
  </si>
  <si>
    <t>Menthol</t>
  </si>
  <si>
    <t>Baume lèvres</t>
  </si>
  <si>
    <t>Payé le 27/01/2026</t>
  </si>
  <si>
    <t>Emballage paquet Ministre</t>
  </si>
  <si>
    <t>Louche</t>
  </si>
  <si>
    <t>Payé le 28/01/2026</t>
  </si>
  <si>
    <t>savon 5l</t>
  </si>
  <si>
    <t>savon 1l</t>
  </si>
  <si>
    <t>savon 1/2l</t>
  </si>
  <si>
    <t>Mika perles</t>
  </si>
  <si>
    <t>Crème éclaicissante</t>
  </si>
  <si>
    <t>Vins de cola</t>
  </si>
  <si>
    <t>Vinaigre</t>
  </si>
  <si>
    <t>chips mais</t>
  </si>
  <si>
    <t>Boucles et bracelets</t>
  </si>
  <si>
    <t>bagues et chaines en perles</t>
  </si>
  <si>
    <t>babouche et sac à main</t>
  </si>
  <si>
    <t>Divers articles</t>
  </si>
  <si>
    <t>Cure desintoxication</t>
  </si>
  <si>
    <t>Envoi courrier par campost</t>
  </si>
  <si>
    <t>Payé le 12/02/2026</t>
  </si>
  <si>
    <t>Pannier</t>
  </si>
  <si>
    <t>Brillant à lèvres</t>
  </si>
  <si>
    <t>Vita tea bio</t>
  </si>
  <si>
    <t>FAFE</t>
  </si>
  <si>
    <t>Payé le 19/02/2026 à Mme GUESSONG</t>
  </si>
  <si>
    <t>Forum Africain des Femmes Entrepreneures</t>
  </si>
  <si>
    <t>Bassie Mofo Julius</t>
  </si>
  <si>
    <t>BASSIE MOFO Julius</t>
  </si>
  <si>
    <t>Beurre de karité</t>
  </si>
  <si>
    <t>Cure toux et rhume</t>
  </si>
  <si>
    <t xml:space="preserve">     </t>
  </si>
  <si>
    <t>Charbon végétal</t>
  </si>
  <si>
    <t>Payé le 24/02/2026</t>
  </si>
  <si>
    <t>Ventes 2025</t>
  </si>
  <si>
    <t>Art</t>
  </si>
  <si>
    <t>Production</t>
  </si>
  <si>
    <t>Services</t>
  </si>
  <si>
    <t>c25:c421</t>
  </si>
  <si>
    <t>c34:c420</t>
  </si>
  <si>
    <t>reste:479400</t>
  </si>
  <si>
    <t>DJOKO</t>
  </si>
  <si>
    <t>MAMBOU</t>
  </si>
  <si>
    <t>salon en corne de bœufs</t>
  </si>
  <si>
    <t xml:space="preserve">salon sculpté en perles </t>
  </si>
  <si>
    <t>Payé le 25/02/2026</t>
  </si>
  <si>
    <t>Chips plantain</t>
  </si>
  <si>
    <t>Huile de neem</t>
  </si>
  <si>
    <t>Damier, Collier et tableau avec message</t>
  </si>
  <si>
    <t xml:space="preserve">collier </t>
  </si>
  <si>
    <t>Miel de bangou</t>
  </si>
  <si>
    <t>Payé le 04/03/2026</t>
  </si>
  <si>
    <t>Payé le 05/03/2026 à Mme Guessong</t>
  </si>
  <si>
    <t>Type d'artisanat</t>
  </si>
  <si>
    <t>AA</t>
  </si>
  <si>
    <t>AP</t>
  </si>
  <si>
    <t>60/03/2026</t>
  </si>
  <si>
    <t>Payé le 06/03/2026</t>
  </si>
  <si>
    <t>Bague en perles</t>
  </si>
  <si>
    <t>Chips de maïs</t>
  </si>
  <si>
    <t>Café rapha</t>
  </si>
  <si>
    <t xml:space="preserve">Cure désintoxication </t>
  </si>
  <si>
    <t>Vin d'ail</t>
  </si>
  <si>
    <t>Table sculptée</t>
  </si>
  <si>
    <t>Payé le 17/03/2026</t>
  </si>
  <si>
    <t>Ngassam crousti D</t>
  </si>
  <si>
    <t>Payé le 25/03/2026</t>
  </si>
  <si>
    <t>Produit dents</t>
  </si>
  <si>
    <t>Payé le 23/03/2026</t>
  </si>
  <si>
    <t>Miel 650g</t>
  </si>
  <si>
    <t>Chips manioc</t>
  </si>
  <si>
    <t>Panniers en paille</t>
  </si>
  <si>
    <t>plateau en bois</t>
  </si>
  <si>
    <t xml:space="preserve">miel blanc </t>
  </si>
  <si>
    <t>sac et chapeaux en paille</t>
  </si>
  <si>
    <t>Payé le 30/03/2026</t>
  </si>
  <si>
    <t>Whisky de cacao</t>
  </si>
  <si>
    <t>Payé le 31/03/2026 au Coordonnateur</t>
  </si>
  <si>
    <t>Guy Marcel(Guessong)</t>
  </si>
  <si>
    <t>Payé le 01/04/2026</t>
  </si>
  <si>
    <t>Chips de plantain</t>
  </si>
  <si>
    <t>Horloge personnalisé</t>
  </si>
  <si>
    <t>Payé le 06/04/2026</t>
  </si>
  <si>
    <t>Payé le 06/04/2026 à Mme GUESSONG</t>
  </si>
  <si>
    <t>Coordo argent espèces 25/02/2026</t>
  </si>
  <si>
    <t>BCA transport après réunion du 03/03/2026</t>
  </si>
  <si>
    <t>BCA motivation du 27/03/2026</t>
  </si>
  <si>
    <t>Payé le 10/04/2026 à Mme Guessong</t>
  </si>
  <si>
    <t>Porte stylos et stylos</t>
  </si>
  <si>
    <t>Porte stylos</t>
  </si>
  <si>
    <t>M KEMTA</t>
  </si>
  <si>
    <t>Thé de gingembre</t>
  </si>
  <si>
    <t>Savons hybiscus</t>
  </si>
  <si>
    <t>baume solista</t>
  </si>
  <si>
    <t>chaine en bambou de chnie</t>
  </si>
  <si>
    <t>NOKAM Dorine</t>
  </si>
  <si>
    <t>Savon hybiscus</t>
  </si>
  <si>
    <t>Colier en perles</t>
  </si>
  <si>
    <t>Boucles</t>
  </si>
  <si>
    <t>Boucles en fil</t>
  </si>
  <si>
    <t>Coordo argent espèces 17/04/2026</t>
  </si>
  <si>
    <t>Ginger tea</t>
  </si>
  <si>
    <t>Stomach easer</t>
  </si>
  <si>
    <t>Tisanes</t>
  </si>
  <si>
    <t>Caisse personnelle (%vtes)</t>
  </si>
  <si>
    <t>Payé le 21/04/2026</t>
  </si>
  <si>
    <t>Bagues en perles</t>
  </si>
  <si>
    <t>boucles en perles</t>
  </si>
  <si>
    <t>Cure minceur</t>
  </si>
  <si>
    <t>Savon liquide</t>
  </si>
  <si>
    <t>vin de raphia</t>
  </si>
  <si>
    <t>Payé le 04/05/2026</t>
  </si>
  <si>
    <t>Payé le 04/05/2026 par MoMo</t>
  </si>
  <si>
    <t>Stylos en bambou de chine</t>
  </si>
  <si>
    <t>bracelets en bambou de chine</t>
  </si>
  <si>
    <t>stylos, bracelets et porte stylos</t>
  </si>
  <si>
    <t>VAR Bamenda</t>
  </si>
  <si>
    <t>Chips maïs, whisky cacao</t>
  </si>
  <si>
    <t>cacalight</t>
  </si>
  <si>
    <t>Propolis, Miel et cacalight</t>
  </si>
  <si>
    <t>Chaussure</t>
  </si>
  <si>
    <t>Yonka Marcel</t>
  </si>
  <si>
    <t>Payé le 18/05/2026</t>
  </si>
  <si>
    <t>Payé le 21/05/2026 à Mme GUESSONG</t>
  </si>
  <si>
    <t>Bracelets Ndop</t>
  </si>
  <si>
    <t>barette ndop</t>
  </si>
  <si>
    <t>chapeaux</t>
  </si>
  <si>
    <t>paire babouche</t>
  </si>
  <si>
    <t>Eventails</t>
  </si>
  <si>
    <t>Collier</t>
  </si>
  <si>
    <t>Bracelet bambou de chine</t>
  </si>
  <si>
    <t>Payé le 25/05/2026</t>
  </si>
  <si>
    <t>Payé le 01/06/2026</t>
  </si>
  <si>
    <t>Titi Bio</t>
  </si>
  <si>
    <t>whisky de bita cola</t>
  </si>
  <si>
    <t>Bougie</t>
  </si>
  <si>
    <t>Poudre de gingembre</t>
  </si>
  <si>
    <t>vin raphia</t>
  </si>
  <si>
    <t xml:space="preserve">  </t>
  </si>
  <si>
    <t xml:space="preserve">Petit plateau en cœur </t>
  </si>
  <si>
    <t>Plateau figure Cameroun</t>
  </si>
  <si>
    <t>Plateau figure Afrique</t>
  </si>
  <si>
    <t>sac en bandoulière</t>
  </si>
  <si>
    <t>sac ndop en bandoulière</t>
  </si>
  <si>
    <t>Sac dame en pochette</t>
  </si>
  <si>
    <t>Grand tableau déco</t>
  </si>
  <si>
    <t>Petit tableau déco</t>
  </si>
  <si>
    <t>divers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</si>
</sst>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iandra GD"/>
      <family val="2"/>
    </font>
    <font>
      <b/>
      <sz val="11"/>
      <color theme="1"/>
      <name val="Maiandra GD"/>
      <family val="2"/>
    </font>
    <font>
      <b/>
      <sz val="12"/>
      <color theme="1"/>
      <name val="Maiandra GD"/>
      <family val="2"/>
    </font>
    <font>
      <sz val="8"/>
      <color theme="1"/>
      <name val="Maiandra GD"/>
      <family val="2"/>
    </font>
    <font>
      <sz val="8"/>
      <color theme="1"/>
      <name val="Calibri"/>
      <family val="2"/>
      <scheme val="minor"/>
    </font>
    <font>
      <b/>
      <sz val="14"/>
      <color theme="1"/>
      <name val="Maiandra GD"/>
      <family val="2"/>
    </font>
    <font>
      <sz val="11"/>
      <name val="Calibri"/>
      <family val="2"/>
      <scheme val="minor"/>
    </font>
    <font>
      <b/>
      <sz val="8"/>
      <color theme="1"/>
      <name val="Maiandra GD"/>
      <family val="2"/>
    </font>
    <font>
      <b/>
      <sz val="8"/>
      <color theme="1"/>
      <name val="Calibri"/>
      <family val="2"/>
      <scheme val="minor"/>
    </font>
    <font>
      <sz val="8"/>
      <name val="Maiandra GD"/>
      <family val="2"/>
    </font>
    <font>
      <sz val="8"/>
      <name val="Calibri"/>
      <family val="2"/>
      <scheme val="minor"/>
    </font>
    <font>
      <sz val="12"/>
      <color theme="1"/>
      <name val="Maiandra GD"/>
      <family val="2"/>
    </font>
    <font>
      <b/>
      <sz val="11"/>
      <name val="Calibri"/>
      <family val="2"/>
      <scheme val="minor"/>
    </font>
    <font>
      <sz val="8"/>
      <color rgb="FFC00000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FF0000"/>
      <name val="Maiandra GD"/>
      <family val="2"/>
    </font>
    <font>
      <sz val="11"/>
      <name val="Maiandra GD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/>
    <xf numFmtId="0" fontId="3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top" wrapText="1"/>
    </xf>
    <xf numFmtId="17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14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17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14" fontId="11" fillId="0" borderId="1" xfId="0" applyNumberFormat="1" applyFont="1" applyBorder="1" applyAlignment="1">
      <alignment horizontal="center" vertical="top"/>
    </xf>
    <xf numFmtId="0" fontId="0" fillId="0" borderId="0" xfId="0" applyBorder="1"/>
    <xf numFmtId="0" fontId="6" fillId="0" borderId="0" xfId="0" applyFont="1"/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horizontal="center" vertical="top"/>
    </xf>
    <xf numFmtId="0" fontId="12" fillId="0" borderId="1" xfId="0" applyFont="1" applyFill="1" applyBorder="1" applyAlignment="1">
      <alignment vertical="top"/>
    </xf>
    <xf numFmtId="0" fontId="3" fillId="0" borderId="1" xfId="0" applyFont="1" applyBorder="1"/>
    <xf numFmtId="0" fontId="3" fillId="0" borderId="1" xfId="0" applyFont="1" applyFill="1" applyBorder="1"/>
    <xf numFmtId="0" fontId="0" fillId="0" borderId="1" xfId="0" applyFont="1" applyBorder="1"/>
    <xf numFmtId="0" fontId="8" fillId="0" borderId="1" xfId="0" applyFont="1" applyBorder="1"/>
    <xf numFmtId="0" fontId="3" fillId="0" borderId="1" xfId="0" applyFont="1" applyBorder="1" applyAlignment="1">
      <alignment horizontal="center"/>
    </xf>
    <xf numFmtId="0" fontId="7" fillId="0" borderId="0" xfId="0" applyFont="1" applyBorder="1" applyAlignment="1"/>
    <xf numFmtId="0" fontId="0" fillId="0" borderId="0" xfId="0" applyBorder="1" applyAlignment="1">
      <alignment vertical="center"/>
    </xf>
    <xf numFmtId="0" fontId="1" fillId="0" borderId="0" xfId="0" applyFont="1" applyBorder="1"/>
    <xf numFmtId="0" fontId="13" fillId="0" borderId="0" xfId="0" applyFont="1"/>
    <xf numFmtId="0" fontId="15" fillId="0" borderId="1" xfId="0" applyFont="1" applyBorder="1" applyAlignment="1">
      <alignment vertical="top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9" fontId="16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/>
    <xf numFmtId="14" fontId="5" fillId="0" borderId="1" xfId="0" applyNumberFormat="1" applyFont="1" applyBorder="1"/>
    <xf numFmtId="14" fontId="11" fillId="0" borderId="1" xfId="0" applyNumberFormat="1" applyFont="1" applyBorder="1"/>
    <xf numFmtId="0" fontId="8" fillId="0" borderId="0" xfId="0" applyFont="1"/>
    <xf numFmtId="0" fontId="8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vertical="top"/>
    </xf>
    <xf numFmtId="0" fontId="5" fillId="0" borderId="1" xfId="0" applyFont="1" applyBorder="1"/>
    <xf numFmtId="0" fontId="11" fillId="0" borderId="1" xfId="0" applyFont="1" applyBorder="1"/>
    <xf numFmtId="0" fontId="6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9" fillId="0" borderId="1" xfId="0" applyFont="1" applyBorder="1" applyAlignment="1">
      <alignment vertical="top"/>
    </xf>
    <xf numFmtId="0" fontId="20" fillId="0" borderId="1" xfId="0" applyFont="1" applyBorder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8" fillId="0" borderId="0" xfId="0" applyFont="1" applyBorder="1" applyAlignment="1"/>
    <xf numFmtId="0" fontId="21" fillId="0" borderId="1" xfId="0" applyFont="1" applyBorder="1"/>
    <xf numFmtId="0" fontId="21" fillId="0" borderId="0" xfId="0" applyFont="1"/>
    <xf numFmtId="14" fontId="12" fillId="0" borderId="1" xfId="0" applyNumberFormat="1" applyFont="1" applyBorder="1" applyAlignment="1">
      <alignment horizontal="center" vertical="top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17" fontId="5" fillId="0" borderId="2" xfId="0" applyNumberFormat="1" applyFont="1" applyBorder="1" applyAlignment="1">
      <alignment horizontal="center" vertical="top"/>
    </xf>
    <xf numFmtId="17" fontId="5" fillId="0" borderId="3" xfId="0" applyNumberFormat="1" applyFont="1" applyBorder="1" applyAlignment="1">
      <alignment horizontal="center" vertical="top"/>
    </xf>
    <xf numFmtId="17" fontId="5" fillId="0" borderId="4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" fontId="5" fillId="0" borderId="8" xfId="0" applyNumberFormat="1" applyFont="1" applyBorder="1" applyAlignment="1">
      <alignment horizontal="center" vertical="top"/>
    </xf>
    <xf numFmtId="17" fontId="5" fillId="0" borderId="9" xfId="0" applyNumberFormat="1" applyFont="1" applyBorder="1" applyAlignment="1">
      <alignment horizontal="center" vertical="top"/>
    </xf>
    <xf numFmtId="17" fontId="5" fillId="0" borderId="7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3" fillId="0" borderId="5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0" fillId="0" borderId="0" xfId="0" applyAlignment="1">
      <alignment horizontal="left"/>
    </xf>
    <xf numFmtId="0" fontId="14" fillId="0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K624"/>
  <sheetViews>
    <sheetView zoomScale="130" zoomScaleNormal="130" workbookViewId="0">
      <selection activeCell="I3" sqref="I3"/>
    </sheetView>
  </sheetViews>
  <sheetFormatPr baseColWidth="10" defaultRowHeight="14.4" x14ac:dyDescent="0.3"/>
  <cols>
    <col min="1" max="1" width="9.109375" customWidth="1"/>
    <col min="2" max="2" width="15.5546875" customWidth="1"/>
    <col min="3" max="3" width="14.88671875" bestFit="1" customWidth="1"/>
    <col min="4" max="4" width="14.44140625" customWidth="1"/>
    <col min="5" max="5" width="8" customWidth="1"/>
    <col min="6" max="6" width="19" style="14" customWidth="1"/>
    <col min="7" max="7" width="8.5546875" customWidth="1"/>
    <col min="11" max="11" width="17.109375" customWidth="1"/>
  </cols>
  <sheetData>
    <row r="2" spans="1:11" ht="15.6" x14ac:dyDescent="0.3">
      <c r="A2" s="86" t="s">
        <v>90</v>
      </c>
      <c r="B2" s="86"/>
      <c r="C2" s="86"/>
      <c r="D2" s="86"/>
      <c r="E2" s="86"/>
      <c r="F2" s="86"/>
      <c r="G2" s="86"/>
      <c r="I2" s="82" t="s">
        <v>457</v>
      </c>
      <c r="J2" s="82"/>
      <c r="K2" s="82"/>
    </row>
    <row r="3" spans="1:11" ht="20.399999999999999" x14ac:dyDescent="0.3">
      <c r="A3" s="15" t="s">
        <v>72</v>
      </c>
      <c r="B3" s="15" t="s">
        <v>73</v>
      </c>
      <c r="C3" s="15" t="s">
        <v>74</v>
      </c>
      <c r="D3" s="15" t="s">
        <v>75</v>
      </c>
      <c r="E3" s="61" t="s">
        <v>476</v>
      </c>
      <c r="F3" s="16" t="s">
        <v>79</v>
      </c>
      <c r="G3" s="17" t="s">
        <v>169</v>
      </c>
      <c r="I3" s="3" t="s">
        <v>458</v>
      </c>
      <c r="J3" s="3" t="s">
        <v>459</v>
      </c>
      <c r="K3" s="3" t="s">
        <v>460</v>
      </c>
    </row>
    <row r="4" spans="1:11" ht="9" hidden="1" customHeight="1" x14ac:dyDescent="0.3">
      <c r="A4" s="18">
        <v>45413</v>
      </c>
      <c r="B4" s="19" t="s">
        <v>0</v>
      </c>
      <c r="C4" s="20">
        <v>500</v>
      </c>
      <c r="D4" s="19" t="s">
        <v>116</v>
      </c>
      <c r="E4" s="21">
        <f>C4</f>
        <v>500</v>
      </c>
      <c r="F4" s="22">
        <v>45834</v>
      </c>
      <c r="G4" s="21">
        <v>0</v>
      </c>
      <c r="I4" s="1"/>
      <c r="J4" s="1"/>
      <c r="K4" s="1"/>
    </row>
    <row r="5" spans="1:11" ht="12.75" hidden="1" customHeight="1" x14ac:dyDescent="0.3">
      <c r="A5" s="18">
        <v>45474</v>
      </c>
      <c r="B5" s="19" t="s">
        <v>1</v>
      </c>
      <c r="C5" s="20">
        <v>3000</v>
      </c>
      <c r="D5" s="19" t="s">
        <v>2</v>
      </c>
      <c r="E5" s="21">
        <f>C5</f>
        <v>3000</v>
      </c>
      <c r="F5" s="23" t="s">
        <v>105</v>
      </c>
      <c r="G5" s="21">
        <v>3000</v>
      </c>
      <c r="I5" s="1" t="s">
        <v>461</v>
      </c>
      <c r="J5" s="1" t="s">
        <v>462</v>
      </c>
      <c r="K5" s="1" t="s">
        <v>463</v>
      </c>
    </row>
    <row r="6" spans="1:11" ht="7.5" hidden="1" customHeight="1" x14ac:dyDescent="0.3">
      <c r="A6" s="79">
        <v>45505</v>
      </c>
      <c r="B6" s="19" t="s">
        <v>3</v>
      </c>
      <c r="C6" s="19">
        <v>1500</v>
      </c>
      <c r="D6" s="19" t="s">
        <v>116</v>
      </c>
      <c r="E6" s="21"/>
      <c r="F6" s="22">
        <v>45834</v>
      </c>
      <c r="G6" s="21">
        <v>0</v>
      </c>
      <c r="I6" s="1"/>
      <c r="J6" s="1"/>
      <c r="K6" s="1"/>
    </row>
    <row r="7" spans="1:11" ht="9.75" hidden="1" customHeight="1" x14ac:dyDescent="0.3">
      <c r="A7" s="80"/>
      <c r="B7" s="19" t="s">
        <v>4</v>
      </c>
      <c r="C7" s="19">
        <v>10000</v>
      </c>
      <c r="D7" s="24" t="s">
        <v>94</v>
      </c>
      <c r="E7" s="21"/>
      <c r="F7" s="23" t="s">
        <v>110</v>
      </c>
      <c r="G7" s="21">
        <v>0</v>
      </c>
      <c r="I7" s="83" t="s">
        <v>146</v>
      </c>
      <c r="J7" s="84"/>
      <c r="K7" s="85"/>
    </row>
    <row r="8" spans="1:11" ht="10.5" hidden="1" customHeight="1" x14ac:dyDescent="0.3">
      <c r="A8" s="80"/>
      <c r="B8" s="19" t="s">
        <v>3</v>
      </c>
      <c r="C8" s="19">
        <v>1500</v>
      </c>
      <c r="D8" s="19" t="s">
        <v>116</v>
      </c>
      <c r="E8" s="21"/>
      <c r="F8" s="22">
        <v>45834</v>
      </c>
      <c r="G8" s="21">
        <v>0</v>
      </c>
      <c r="I8" s="60">
        <v>1466300</v>
      </c>
      <c r="J8" s="60">
        <v>1422100</v>
      </c>
      <c r="K8" s="60">
        <v>479400</v>
      </c>
    </row>
    <row r="9" spans="1:11" ht="10.5" hidden="1" customHeight="1" x14ac:dyDescent="0.3">
      <c r="A9" s="80"/>
      <c r="B9" s="19" t="s">
        <v>6</v>
      </c>
      <c r="C9" s="19">
        <v>1000</v>
      </c>
      <c r="D9" s="24" t="s">
        <v>104</v>
      </c>
      <c r="E9" s="21"/>
      <c r="F9" s="23"/>
      <c r="G9" s="21">
        <v>1000</v>
      </c>
      <c r="I9" s="83">
        <v>3367800</v>
      </c>
      <c r="J9" s="84"/>
      <c r="K9" s="85"/>
    </row>
    <row r="10" spans="1:11" ht="9.75" hidden="1" customHeight="1" x14ac:dyDescent="0.3">
      <c r="A10" s="80"/>
      <c r="B10" s="19" t="s">
        <v>7</v>
      </c>
      <c r="C10" s="19">
        <v>1500</v>
      </c>
      <c r="D10" s="24" t="s">
        <v>5</v>
      </c>
      <c r="E10" s="21"/>
      <c r="F10" s="23" t="s">
        <v>110</v>
      </c>
      <c r="G10" s="21">
        <v>0</v>
      </c>
      <c r="I10" s="60" t="s">
        <v>464</v>
      </c>
      <c r="J10" s="60">
        <v>1500000</v>
      </c>
      <c r="K10" s="60" t="s">
        <v>466</v>
      </c>
    </row>
    <row r="11" spans="1:11" ht="9.75" hidden="1" customHeight="1" x14ac:dyDescent="0.3">
      <c r="A11" s="80"/>
      <c r="B11" s="19" t="s">
        <v>8</v>
      </c>
      <c r="C11" s="19">
        <v>500</v>
      </c>
      <c r="D11" s="24" t="s">
        <v>5</v>
      </c>
      <c r="E11" s="21"/>
      <c r="F11" s="23" t="s">
        <v>110</v>
      </c>
      <c r="G11" s="21">
        <v>0</v>
      </c>
      <c r="I11" s="60" t="s">
        <v>465</v>
      </c>
      <c r="J11" s="60">
        <v>400000</v>
      </c>
      <c r="K11" s="60" t="s">
        <v>467</v>
      </c>
    </row>
    <row r="12" spans="1:11" ht="8.25" hidden="1" customHeight="1" x14ac:dyDescent="0.3">
      <c r="A12" s="81"/>
      <c r="B12" s="19" t="s">
        <v>8</v>
      </c>
      <c r="C12" s="19">
        <v>1000</v>
      </c>
      <c r="D12" s="19" t="s">
        <v>157</v>
      </c>
      <c r="E12" s="21"/>
      <c r="F12" s="22">
        <v>45832</v>
      </c>
      <c r="G12" s="21">
        <v>0</v>
      </c>
    </row>
    <row r="13" spans="1:11" ht="9.75" hidden="1" customHeight="1" x14ac:dyDescent="0.3">
      <c r="A13" s="77" t="s">
        <v>82</v>
      </c>
      <c r="B13" s="78"/>
      <c r="C13" s="20">
        <f>SUM(C6:C12)</f>
        <v>17000</v>
      </c>
      <c r="D13" s="19"/>
      <c r="E13" s="21">
        <f>C13</f>
        <v>17000</v>
      </c>
      <c r="F13" s="23"/>
      <c r="G13" s="21">
        <v>0</v>
      </c>
    </row>
    <row r="14" spans="1:11" ht="9" hidden="1" customHeight="1" x14ac:dyDescent="0.3">
      <c r="A14" s="79">
        <v>45536</v>
      </c>
      <c r="B14" s="19" t="s">
        <v>9</v>
      </c>
      <c r="C14" s="19">
        <v>5000</v>
      </c>
      <c r="D14" s="24" t="s">
        <v>5</v>
      </c>
      <c r="E14" s="21"/>
      <c r="F14" s="23" t="s">
        <v>110</v>
      </c>
      <c r="G14" s="21">
        <v>0</v>
      </c>
    </row>
    <row r="15" spans="1:11" ht="9.75" hidden="1" customHeight="1" x14ac:dyDescent="0.3">
      <c r="A15" s="81"/>
      <c r="B15" s="19" t="s">
        <v>10</v>
      </c>
      <c r="C15" s="19">
        <v>2000</v>
      </c>
      <c r="D15" s="19" t="s">
        <v>240</v>
      </c>
      <c r="E15" s="21"/>
      <c r="F15" s="23" t="s">
        <v>366</v>
      </c>
      <c r="G15" s="21">
        <v>0</v>
      </c>
    </row>
    <row r="16" spans="1:11" ht="9" hidden="1" customHeight="1" x14ac:dyDescent="0.3">
      <c r="A16" s="77" t="s">
        <v>83</v>
      </c>
      <c r="B16" s="78"/>
      <c r="C16" s="20">
        <f>C14+C15</f>
        <v>7000</v>
      </c>
      <c r="D16" s="19"/>
      <c r="E16" s="21">
        <f>C16</f>
        <v>7000</v>
      </c>
      <c r="F16" s="23"/>
      <c r="G16" s="21">
        <v>0</v>
      </c>
    </row>
    <row r="17" spans="1:7" ht="9.75" hidden="1" customHeight="1" x14ac:dyDescent="0.3">
      <c r="A17" s="25">
        <v>45566</v>
      </c>
      <c r="B17" s="19" t="s">
        <v>11</v>
      </c>
      <c r="C17" s="19">
        <v>2000</v>
      </c>
      <c r="D17" s="19" t="s">
        <v>148</v>
      </c>
      <c r="E17" s="21"/>
      <c r="F17" s="23" t="s">
        <v>160</v>
      </c>
      <c r="G17" s="21">
        <v>0</v>
      </c>
    </row>
    <row r="18" spans="1:7" ht="8.25" hidden="1" customHeight="1" x14ac:dyDescent="0.3">
      <c r="A18" s="77" t="s">
        <v>84</v>
      </c>
      <c r="B18" s="78"/>
      <c r="C18" s="20">
        <f>C17</f>
        <v>2000</v>
      </c>
      <c r="D18" s="19"/>
      <c r="E18" s="21">
        <f>C18</f>
        <v>2000</v>
      </c>
      <c r="F18" s="23"/>
      <c r="G18" s="21">
        <v>0</v>
      </c>
    </row>
    <row r="19" spans="1:7" ht="9.75" hidden="1" customHeight="1" x14ac:dyDescent="0.3">
      <c r="A19" s="79">
        <v>45597</v>
      </c>
      <c r="B19" s="19" t="s">
        <v>12</v>
      </c>
      <c r="C19" s="19">
        <v>1500</v>
      </c>
      <c r="D19" s="19" t="s">
        <v>13</v>
      </c>
      <c r="E19" s="21"/>
      <c r="F19" s="23" t="s">
        <v>235</v>
      </c>
      <c r="G19" s="21">
        <v>0</v>
      </c>
    </row>
    <row r="20" spans="1:7" ht="9" hidden="1" customHeight="1" x14ac:dyDescent="0.3">
      <c r="A20" s="81"/>
      <c r="B20" s="19" t="s">
        <v>14</v>
      </c>
      <c r="C20" s="19">
        <v>15000</v>
      </c>
      <c r="D20" s="19" t="s">
        <v>15</v>
      </c>
      <c r="E20" s="21"/>
      <c r="F20" s="23" t="s">
        <v>193</v>
      </c>
      <c r="G20" s="21">
        <v>0</v>
      </c>
    </row>
    <row r="21" spans="1:7" ht="12" hidden="1" customHeight="1" x14ac:dyDescent="0.3">
      <c r="A21" s="77" t="s">
        <v>85</v>
      </c>
      <c r="B21" s="78"/>
      <c r="C21" s="20">
        <f>C19+C20</f>
        <v>16500</v>
      </c>
      <c r="D21" s="19"/>
      <c r="E21" s="21">
        <f>C21</f>
        <v>16500</v>
      </c>
      <c r="F21" s="23"/>
      <c r="G21" s="21">
        <v>0</v>
      </c>
    </row>
    <row r="22" spans="1:7" ht="9.75" hidden="1" customHeight="1" x14ac:dyDescent="0.3">
      <c r="A22" s="79">
        <v>45627</v>
      </c>
      <c r="B22" s="19" t="s">
        <v>16</v>
      </c>
      <c r="C22" s="19">
        <v>1000</v>
      </c>
      <c r="D22" s="19" t="s">
        <v>127</v>
      </c>
      <c r="E22" s="21"/>
      <c r="F22" s="23" t="s">
        <v>502</v>
      </c>
      <c r="G22" s="21">
        <v>0</v>
      </c>
    </row>
    <row r="23" spans="1:7" ht="9" hidden="1" customHeight="1" x14ac:dyDescent="0.3">
      <c r="A23" s="81"/>
      <c r="B23" s="19" t="s">
        <v>17</v>
      </c>
      <c r="C23" s="19">
        <v>1000</v>
      </c>
      <c r="D23" s="19" t="s">
        <v>148</v>
      </c>
      <c r="E23" s="21"/>
      <c r="F23" s="23" t="s">
        <v>160</v>
      </c>
      <c r="G23" s="21">
        <v>0</v>
      </c>
    </row>
    <row r="24" spans="1:7" ht="9" hidden="1" customHeight="1" x14ac:dyDescent="0.3">
      <c r="A24" s="77" t="s">
        <v>86</v>
      </c>
      <c r="B24" s="78"/>
      <c r="C24" s="20">
        <f>C22+C23</f>
        <v>2000</v>
      </c>
      <c r="D24" s="19"/>
      <c r="E24" s="21">
        <f>C24</f>
        <v>2000</v>
      </c>
      <c r="F24" s="23"/>
      <c r="G24" s="21">
        <v>0</v>
      </c>
    </row>
    <row r="25" spans="1:7" ht="8.25" hidden="1" customHeight="1" x14ac:dyDescent="0.3">
      <c r="A25" s="87">
        <v>45658</v>
      </c>
      <c r="B25" s="26" t="s">
        <v>76</v>
      </c>
      <c r="C25" s="19">
        <v>1000</v>
      </c>
      <c r="D25" s="19" t="s">
        <v>122</v>
      </c>
      <c r="E25" s="21"/>
      <c r="F25" s="22" t="s">
        <v>163</v>
      </c>
      <c r="G25" s="21">
        <v>0</v>
      </c>
    </row>
    <row r="26" spans="1:7" ht="9.75" hidden="1" customHeight="1" x14ac:dyDescent="0.3">
      <c r="A26" s="88"/>
      <c r="B26" s="26" t="s">
        <v>77</v>
      </c>
      <c r="C26" s="19">
        <v>1000</v>
      </c>
      <c r="D26" s="19" t="s">
        <v>122</v>
      </c>
      <c r="E26" s="21"/>
      <c r="F26" s="22" t="s">
        <v>163</v>
      </c>
      <c r="G26" s="21">
        <v>0</v>
      </c>
    </row>
    <row r="27" spans="1:7" ht="8.25" hidden="1" customHeight="1" x14ac:dyDescent="0.3">
      <c r="A27" s="88"/>
      <c r="B27" s="26" t="s">
        <v>78</v>
      </c>
      <c r="C27" s="19">
        <v>3000</v>
      </c>
      <c r="D27" s="19" t="s">
        <v>101</v>
      </c>
      <c r="E27" s="21"/>
      <c r="F27" s="22">
        <v>45834</v>
      </c>
      <c r="G27" s="21">
        <v>0</v>
      </c>
    </row>
    <row r="28" spans="1:7" ht="9" hidden="1" customHeight="1" x14ac:dyDescent="0.3">
      <c r="A28" s="88"/>
      <c r="B28" s="19" t="s">
        <v>18</v>
      </c>
      <c r="C28" s="19">
        <v>600</v>
      </c>
      <c r="D28" s="19" t="s">
        <v>19</v>
      </c>
      <c r="E28" s="21"/>
      <c r="F28" s="23" t="s">
        <v>296</v>
      </c>
      <c r="G28" s="21">
        <v>0</v>
      </c>
    </row>
    <row r="29" spans="1:7" ht="9" hidden="1" customHeight="1" x14ac:dyDescent="0.3">
      <c r="A29" s="88"/>
      <c r="B29" s="19" t="s">
        <v>18</v>
      </c>
      <c r="C29" s="19">
        <v>2000</v>
      </c>
      <c r="D29" s="19" t="s">
        <v>157</v>
      </c>
      <c r="E29" s="21"/>
      <c r="F29" s="22">
        <v>45832</v>
      </c>
      <c r="G29" s="21">
        <v>0</v>
      </c>
    </row>
    <row r="30" spans="1:7" ht="9" hidden="1" customHeight="1" x14ac:dyDescent="0.3">
      <c r="A30" s="88"/>
      <c r="B30" s="19" t="s">
        <v>20</v>
      </c>
      <c r="C30" s="19">
        <v>9000</v>
      </c>
      <c r="D30" s="24" t="s">
        <v>5</v>
      </c>
      <c r="E30" s="21"/>
      <c r="F30" s="23" t="s">
        <v>110</v>
      </c>
      <c r="G30" s="21">
        <v>0</v>
      </c>
    </row>
    <row r="31" spans="1:7" ht="9" hidden="1" customHeight="1" x14ac:dyDescent="0.3">
      <c r="A31" s="88"/>
      <c r="B31" s="19" t="s">
        <v>21</v>
      </c>
      <c r="C31" s="19">
        <v>1000</v>
      </c>
      <c r="D31" s="19" t="s">
        <v>22</v>
      </c>
      <c r="E31" s="21"/>
      <c r="F31" s="23" t="s">
        <v>235</v>
      </c>
      <c r="G31" s="21">
        <v>0</v>
      </c>
    </row>
    <row r="32" spans="1:7" ht="8.25" hidden="1" customHeight="1" x14ac:dyDescent="0.3">
      <c r="A32" s="89"/>
      <c r="B32" s="19" t="s">
        <v>23</v>
      </c>
      <c r="C32" s="19">
        <v>1500</v>
      </c>
      <c r="D32" s="19" t="s">
        <v>148</v>
      </c>
      <c r="E32" s="21"/>
      <c r="F32" s="23" t="s">
        <v>160</v>
      </c>
      <c r="G32" s="21">
        <v>0</v>
      </c>
    </row>
    <row r="33" spans="1:7" ht="11.25" hidden="1" customHeight="1" x14ac:dyDescent="0.3">
      <c r="A33" s="77" t="s">
        <v>87</v>
      </c>
      <c r="B33" s="78"/>
      <c r="C33" s="20">
        <f>SUM(C25:C32)</f>
        <v>19100</v>
      </c>
      <c r="D33" s="19"/>
      <c r="E33" s="21">
        <f>C33</f>
        <v>19100</v>
      </c>
      <c r="F33" s="23"/>
      <c r="G33" s="21">
        <v>0</v>
      </c>
    </row>
    <row r="34" spans="1:7" ht="9" hidden="1" customHeight="1" x14ac:dyDescent="0.3">
      <c r="A34" s="79">
        <v>45689</v>
      </c>
      <c r="B34" s="19" t="s">
        <v>24</v>
      </c>
      <c r="C34" s="19">
        <v>1000</v>
      </c>
      <c r="D34" s="19" t="s">
        <v>127</v>
      </c>
      <c r="E34" s="21"/>
      <c r="F34" s="23" t="s">
        <v>502</v>
      </c>
      <c r="G34" s="21">
        <v>0</v>
      </c>
    </row>
    <row r="35" spans="1:7" ht="9" hidden="1" customHeight="1" x14ac:dyDescent="0.3">
      <c r="A35" s="80"/>
      <c r="B35" s="19" t="s">
        <v>25</v>
      </c>
      <c r="C35" s="19">
        <v>1500</v>
      </c>
      <c r="D35" s="19" t="s">
        <v>22</v>
      </c>
      <c r="E35" s="21"/>
      <c r="F35" s="23" t="s">
        <v>235</v>
      </c>
      <c r="G35" s="21">
        <v>0</v>
      </c>
    </row>
    <row r="36" spans="1:7" ht="9" hidden="1" customHeight="1" x14ac:dyDescent="0.3">
      <c r="A36" s="80"/>
      <c r="B36" s="19" t="s">
        <v>26</v>
      </c>
      <c r="C36" s="19">
        <v>40000</v>
      </c>
      <c r="D36" s="24" t="s">
        <v>5</v>
      </c>
      <c r="E36" s="21"/>
      <c r="F36" s="23" t="s">
        <v>110</v>
      </c>
      <c r="G36" s="21">
        <v>0</v>
      </c>
    </row>
    <row r="37" spans="1:7" ht="10.5" hidden="1" customHeight="1" x14ac:dyDescent="0.3">
      <c r="A37" s="80"/>
      <c r="B37" s="19" t="s">
        <v>27</v>
      </c>
      <c r="C37" s="19">
        <v>4000</v>
      </c>
      <c r="D37" s="19" t="s">
        <v>28</v>
      </c>
      <c r="E37" s="21"/>
      <c r="F37" s="23" t="s">
        <v>110</v>
      </c>
      <c r="G37" s="21">
        <v>0</v>
      </c>
    </row>
    <row r="38" spans="1:7" ht="9" hidden="1" customHeight="1" x14ac:dyDescent="0.3">
      <c r="A38" s="80"/>
      <c r="B38" s="19" t="s">
        <v>29</v>
      </c>
      <c r="C38" s="19">
        <v>500</v>
      </c>
      <c r="D38" s="19" t="s">
        <v>30</v>
      </c>
      <c r="E38" s="21"/>
      <c r="F38" s="23" t="s">
        <v>108</v>
      </c>
      <c r="G38" s="21">
        <v>0</v>
      </c>
    </row>
    <row r="39" spans="1:7" ht="9.75" hidden="1" customHeight="1" x14ac:dyDescent="0.3">
      <c r="A39" s="80"/>
      <c r="B39" s="19" t="s">
        <v>31</v>
      </c>
      <c r="C39" s="19">
        <v>1500</v>
      </c>
      <c r="D39" s="19" t="s">
        <v>30</v>
      </c>
      <c r="E39" s="21"/>
      <c r="F39" s="23" t="s">
        <v>108</v>
      </c>
      <c r="G39" s="21">
        <v>0</v>
      </c>
    </row>
    <row r="40" spans="1:7" ht="10.5" hidden="1" customHeight="1" x14ac:dyDescent="0.3">
      <c r="A40" s="80"/>
      <c r="B40" s="19" t="s">
        <v>32</v>
      </c>
      <c r="C40" s="19">
        <v>500</v>
      </c>
      <c r="D40" s="19" t="s">
        <v>30</v>
      </c>
      <c r="E40" s="21"/>
      <c r="F40" s="23" t="s">
        <v>108</v>
      </c>
      <c r="G40" s="21">
        <v>0</v>
      </c>
    </row>
    <row r="41" spans="1:7" ht="9" hidden="1" customHeight="1" x14ac:dyDescent="0.3">
      <c r="A41" s="80"/>
      <c r="B41" s="19" t="s">
        <v>33</v>
      </c>
      <c r="C41" s="19">
        <v>5000</v>
      </c>
      <c r="D41" s="19" t="s">
        <v>30</v>
      </c>
      <c r="E41" s="21"/>
      <c r="F41" s="23" t="s">
        <v>108</v>
      </c>
      <c r="G41" s="21">
        <v>0</v>
      </c>
    </row>
    <row r="42" spans="1:7" ht="10.5" hidden="1" customHeight="1" x14ac:dyDescent="0.3">
      <c r="A42" s="80"/>
      <c r="B42" s="19" t="s">
        <v>34</v>
      </c>
      <c r="C42" s="19">
        <v>1000</v>
      </c>
      <c r="D42" s="19" t="s">
        <v>142</v>
      </c>
      <c r="E42" s="21"/>
      <c r="F42" s="23" t="s">
        <v>141</v>
      </c>
      <c r="G42" s="21">
        <v>0</v>
      </c>
    </row>
    <row r="43" spans="1:7" ht="9.75" hidden="1" customHeight="1" x14ac:dyDescent="0.3">
      <c r="A43" s="80"/>
      <c r="B43" s="19" t="s">
        <v>35</v>
      </c>
      <c r="C43" s="19">
        <v>1000</v>
      </c>
      <c r="D43" s="19" t="s">
        <v>142</v>
      </c>
      <c r="E43" s="21"/>
      <c r="F43" s="23" t="s">
        <v>141</v>
      </c>
      <c r="G43" s="21">
        <v>0</v>
      </c>
    </row>
    <row r="44" spans="1:7" ht="10.5" hidden="1" customHeight="1" x14ac:dyDescent="0.3">
      <c r="A44" s="81"/>
      <c r="B44" s="19" t="s">
        <v>36</v>
      </c>
      <c r="C44" s="19">
        <v>500</v>
      </c>
      <c r="D44" s="19" t="s">
        <v>30</v>
      </c>
      <c r="E44" s="21"/>
      <c r="F44" s="23" t="s">
        <v>108</v>
      </c>
      <c r="G44" s="21">
        <v>0</v>
      </c>
    </row>
    <row r="45" spans="1:7" ht="10.5" hidden="1" customHeight="1" x14ac:dyDescent="0.3">
      <c r="A45" s="77" t="s">
        <v>88</v>
      </c>
      <c r="B45" s="78"/>
      <c r="C45" s="20">
        <f>SUM(C34:C44)</f>
        <v>56500</v>
      </c>
      <c r="D45" s="19"/>
      <c r="E45" s="21">
        <f>C45</f>
        <v>56500</v>
      </c>
      <c r="F45" s="23"/>
      <c r="G45" s="21">
        <v>0</v>
      </c>
    </row>
    <row r="46" spans="1:7" ht="9" hidden="1" customHeight="1" x14ac:dyDescent="0.3">
      <c r="A46" s="79">
        <v>45717</v>
      </c>
      <c r="B46" s="19" t="s">
        <v>37</v>
      </c>
      <c r="C46" s="19">
        <v>1000</v>
      </c>
      <c r="D46" s="19" t="s">
        <v>127</v>
      </c>
      <c r="E46" s="21"/>
      <c r="F46" s="23" t="s">
        <v>502</v>
      </c>
      <c r="G46" s="21">
        <v>0</v>
      </c>
    </row>
    <row r="47" spans="1:7" ht="9.75" hidden="1" customHeight="1" x14ac:dyDescent="0.3">
      <c r="A47" s="80"/>
      <c r="B47" s="19" t="s">
        <v>32</v>
      </c>
      <c r="C47" s="19">
        <v>1000</v>
      </c>
      <c r="D47" s="19" t="s">
        <v>30</v>
      </c>
      <c r="E47" s="21"/>
      <c r="F47" s="23" t="s">
        <v>108</v>
      </c>
      <c r="G47" s="21">
        <v>0</v>
      </c>
    </row>
    <row r="48" spans="1:7" ht="9" hidden="1" customHeight="1" x14ac:dyDescent="0.3">
      <c r="A48" s="80"/>
      <c r="B48" s="19" t="s">
        <v>38</v>
      </c>
      <c r="C48" s="19">
        <v>9000</v>
      </c>
      <c r="D48" s="19" t="s">
        <v>39</v>
      </c>
      <c r="E48" s="21"/>
      <c r="F48" s="23" t="s">
        <v>110</v>
      </c>
      <c r="G48" s="21">
        <v>0</v>
      </c>
    </row>
    <row r="49" spans="1:7" ht="9" hidden="1" customHeight="1" x14ac:dyDescent="0.3">
      <c r="A49" s="80"/>
      <c r="B49" s="19" t="s">
        <v>40</v>
      </c>
      <c r="C49" s="19">
        <v>5000</v>
      </c>
      <c r="D49" s="24" t="s">
        <v>5</v>
      </c>
      <c r="E49" s="21"/>
      <c r="F49" s="23" t="s">
        <v>110</v>
      </c>
      <c r="G49" s="21">
        <v>0</v>
      </c>
    </row>
    <row r="50" spans="1:7" ht="10.5" hidden="1" customHeight="1" x14ac:dyDescent="0.3">
      <c r="A50" s="80"/>
      <c r="B50" s="19" t="s">
        <v>41</v>
      </c>
      <c r="C50" s="19">
        <v>3000</v>
      </c>
      <c r="D50" s="19" t="s">
        <v>101</v>
      </c>
      <c r="E50" s="21"/>
      <c r="F50" s="22">
        <v>45834</v>
      </c>
      <c r="G50" s="21">
        <v>0</v>
      </c>
    </row>
    <row r="51" spans="1:7" ht="8.25" hidden="1" customHeight="1" x14ac:dyDescent="0.3">
      <c r="A51" s="80"/>
      <c r="B51" s="19" t="s">
        <v>42</v>
      </c>
      <c r="C51" s="19">
        <v>3000</v>
      </c>
      <c r="D51" s="19" t="s">
        <v>39</v>
      </c>
      <c r="E51" s="21"/>
      <c r="F51" s="23" t="s">
        <v>110</v>
      </c>
      <c r="G51" s="21">
        <v>0</v>
      </c>
    </row>
    <row r="52" spans="1:7" ht="10.5" hidden="1" customHeight="1" x14ac:dyDescent="0.3">
      <c r="A52" s="80"/>
      <c r="B52" s="19" t="s">
        <v>43</v>
      </c>
      <c r="C52" s="19">
        <v>500</v>
      </c>
      <c r="D52" s="19" t="s">
        <v>30</v>
      </c>
      <c r="E52" s="21"/>
      <c r="F52" s="23" t="s">
        <v>108</v>
      </c>
      <c r="G52" s="21">
        <v>0</v>
      </c>
    </row>
    <row r="53" spans="1:7" ht="9" hidden="1" customHeight="1" x14ac:dyDescent="0.3">
      <c r="A53" s="80"/>
      <c r="B53" s="19" t="s">
        <v>31</v>
      </c>
      <c r="C53" s="19">
        <v>1500</v>
      </c>
      <c r="D53" s="19" t="s">
        <v>44</v>
      </c>
      <c r="E53" s="21"/>
      <c r="F53" s="22" t="s">
        <v>178</v>
      </c>
      <c r="G53" s="21">
        <v>0</v>
      </c>
    </row>
    <row r="54" spans="1:7" ht="9" hidden="1" customHeight="1" x14ac:dyDescent="0.3">
      <c r="A54" s="80"/>
      <c r="B54" s="19" t="s">
        <v>45</v>
      </c>
      <c r="C54" s="19">
        <v>200</v>
      </c>
      <c r="D54" s="19" t="s">
        <v>44</v>
      </c>
      <c r="E54" s="21"/>
      <c r="F54" s="22" t="s">
        <v>178</v>
      </c>
      <c r="G54" s="21">
        <v>0</v>
      </c>
    </row>
    <row r="55" spans="1:7" ht="10.5" hidden="1" customHeight="1" x14ac:dyDescent="0.3">
      <c r="A55" s="80"/>
      <c r="B55" s="19" t="s">
        <v>36</v>
      </c>
      <c r="C55" s="19">
        <v>500</v>
      </c>
      <c r="D55" s="19" t="s">
        <v>30</v>
      </c>
      <c r="E55" s="21"/>
      <c r="F55" s="23" t="s">
        <v>108</v>
      </c>
      <c r="G55" s="21">
        <v>0</v>
      </c>
    </row>
    <row r="56" spans="1:7" ht="10.5" hidden="1" customHeight="1" x14ac:dyDescent="0.3">
      <c r="A56" s="80"/>
      <c r="B56" s="19" t="s">
        <v>33</v>
      </c>
      <c r="C56" s="19">
        <v>1000</v>
      </c>
      <c r="D56" s="19" t="s">
        <v>30</v>
      </c>
      <c r="E56" s="21"/>
      <c r="F56" s="23" t="s">
        <v>108</v>
      </c>
      <c r="G56" s="21">
        <v>0</v>
      </c>
    </row>
    <row r="57" spans="1:7" ht="11.25" hidden="1" customHeight="1" x14ac:dyDescent="0.3">
      <c r="A57" s="81"/>
      <c r="B57" s="19" t="s">
        <v>45</v>
      </c>
      <c r="C57" s="19">
        <v>500</v>
      </c>
      <c r="D57" s="19" t="s">
        <v>44</v>
      </c>
      <c r="E57" s="21"/>
      <c r="F57" s="22" t="s">
        <v>178</v>
      </c>
      <c r="G57" s="21">
        <v>0</v>
      </c>
    </row>
    <row r="58" spans="1:7" ht="9" hidden="1" customHeight="1" x14ac:dyDescent="0.3">
      <c r="A58" s="77" t="s">
        <v>89</v>
      </c>
      <c r="B58" s="78"/>
      <c r="C58" s="20">
        <f>SUM(C46:C57)</f>
        <v>26200</v>
      </c>
      <c r="D58" s="19"/>
      <c r="E58" s="21">
        <f>C58</f>
        <v>26200</v>
      </c>
      <c r="F58" s="23"/>
      <c r="G58" s="21">
        <v>0</v>
      </c>
    </row>
    <row r="59" spans="1:7" ht="9.75" hidden="1" customHeight="1" x14ac:dyDescent="0.3">
      <c r="A59" s="79">
        <v>45748</v>
      </c>
      <c r="B59" s="19" t="s">
        <v>43</v>
      </c>
      <c r="C59" s="19">
        <v>500</v>
      </c>
      <c r="D59" s="19" t="s">
        <v>30</v>
      </c>
      <c r="E59" s="21"/>
      <c r="F59" s="23" t="s">
        <v>108</v>
      </c>
      <c r="G59" s="21">
        <v>0</v>
      </c>
    </row>
    <row r="60" spans="1:7" ht="11.25" hidden="1" customHeight="1" x14ac:dyDescent="0.3">
      <c r="A60" s="80"/>
      <c r="B60" s="19" t="s">
        <v>45</v>
      </c>
      <c r="C60" s="19">
        <v>1500</v>
      </c>
      <c r="D60" s="19" t="s">
        <v>44</v>
      </c>
      <c r="E60" s="21"/>
      <c r="F60" s="22" t="s">
        <v>178</v>
      </c>
      <c r="G60" s="21">
        <v>0</v>
      </c>
    </row>
    <row r="61" spans="1:7" ht="9" hidden="1" customHeight="1" x14ac:dyDescent="0.3">
      <c r="A61" s="80"/>
      <c r="B61" s="19" t="s">
        <v>33</v>
      </c>
      <c r="C61" s="19">
        <v>2000</v>
      </c>
      <c r="D61" s="19" t="s">
        <v>30</v>
      </c>
      <c r="E61" s="21"/>
      <c r="F61" s="23" t="s">
        <v>108</v>
      </c>
      <c r="G61" s="21">
        <v>0</v>
      </c>
    </row>
    <row r="62" spans="1:7" ht="9" hidden="1" customHeight="1" x14ac:dyDescent="0.3">
      <c r="A62" s="80"/>
      <c r="B62" s="19" t="s">
        <v>18</v>
      </c>
      <c r="C62" s="19">
        <v>250</v>
      </c>
      <c r="D62" s="19" t="s">
        <v>156</v>
      </c>
      <c r="E62" s="21"/>
      <c r="F62" s="23" t="s">
        <v>206</v>
      </c>
      <c r="G62" s="21">
        <v>0</v>
      </c>
    </row>
    <row r="63" spans="1:7" ht="9" hidden="1" customHeight="1" x14ac:dyDescent="0.3">
      <c r="A63" s="80"/>
      <c r="B63" s="19" t="s">
        <v>45</v>
      </c>
      <c r="C63" s="19">
        <v>2200</v>
      </c>
      <c r="D63" s="19" t="s">
        <v>44</v>
      </c>
      <c r="E63" s="21"/>
      <c r="F63" s="22" t="s">
        <v>178</v>
      </c>
      <c r="G63" s="21">
        <v>0</v>
      </c>
    </row>
    <row r="64" spans="1:7" ht="8.25" hidden="1" customHeight="1" x14ac:dyDescent="0.3">
      <c r="A64" s="80"/>
      <c r="B64" s="19" t="s">
        <v>45</v>
      </c>
      <c r="C64" s="19">
        <v>1500</v>
      </c>
      <c r="D64" s="19" t="s">
        <v>44</v>
      </c>
      <c r="E64" s="21"/>
      <c r="F64" s="22" t="s">
        <v>178</v>
      </c>
      <c r="G64" s="21">
        <v>0</v>
      </c>
    </row>
    <row r="65" spans="1:7" ht="9" hidden="1" customHeight="1" x14ac:dyDescent="0.3">
      <c r="A65" s="80"/>
      <c r="B65" s="19" t="s">
        <v>45</v>
      </c>
      <c r="C65" s="19">
        <v>1900</v>
      </c>
      <c r="D65" s="19" t="s">
        <v>44</v>
      </c>
      <c r="E65" s="21"/>
      <c r="F65" s="22" t="s">
        <v>178</v>
      </c>
      <c r="G65" s="21">
        <v>0</v>
      </c>
    </row>
    <row r="66" spans="1:7" ht="9.75" hidden="1" customHeight="1" x14ac:dyDescent="0.3">
      <c r="A66" s="80"/>
      <c r="B66" s="19" t="s">
        <v>32</v>
      </c>
      <c r="C66" s="19">
        <v>500</v>
      </c>
      <c r="D66" s="19" t="s">
        <v>30</v>
      </c>
      <c r="E66" s="21"/>
      <c r="F66" s="23" t="s">
        <v>108</v>
      </c>
      <c r="G66" s="21">
        <v>0</v>
      </c>
    </row>
    <row r="67" spans="1:7" ht="8.25" hidden="1" customHeight="1" x14ac:dyDescent="0.3">
      <c r="A67" s="80"/>
      <c r="B67" s="19" t="s">
        <v>46</v>
      </c>
      <c r="C67" s="19">
        <v>450</v>
      </c>
      <c r="D67" s="19" t="s">
        <v>44</v>
      </c>
      <c r="E67" s="21"/>
      <c r="F67" s="22" t="s">
        <v>178</v>
      </c>
      <c r="G67" s="21">
        <v>0</v>
      </c>
    </row>
    <row r="68" spans="1:7" ht="8.25" hidden="1" customHeight="1" x14ac:dyDescent="0.3">
      <c r="A68" s="80"/>
      <c r="B68" s="19" t="s">
        <v>45</v>
      </c>
      <c r="C68" s="19">
        <v>3400</v>
      </c>
      <c r="D68" s="19" t="s">
        <v>44</v>
      </c>
      <c r="E68" s="21"/>
      <c r="F68" s="22" t="s">
        <v>178</v>
      </c>
      <c r="G68" s="21">
        <v>0</v>
      </c>
    </row>
    <row r="69" spans="1:7" ht="8.25" hidden="1" customHeight="1" x14ac:dyDescent="0.3">
      <c r="A69" s="80"/>
      <c r="B69" s="19" t="s">
        <v>37</v>
      </c>
      <c r="C69" s="19">
        <v>1000</v>
      </c>
      <c r="D69" s="19" t="s">
        <v>127</v>
      </c>
      <c r="E69" s="21"/>
      <c r="F69" s="23" t="s">
        <v>502</v>
      </c>
      <c r="G69" s="21">
        <v>0</v>
      </c>
    </row>
    <row r="70" spans="1:7" ht="8.25" hidden="1" customHeight="1" x14ac:dyDescent="0.3">
      <c r="A70" s="80"/>
      <c r="B70" s="19" t="s">
        <v>47</v>
      </c>
      <c r="C70" s="19">
        <v>1000</v>
      </c>
      <c r="D70" s="19" t="s">
        <v>142</v>
      </c>
      <c r="E70" s="21"/>
      <c r="F70" s="23" t="s">
        <v>141</v>
      </c>
      <c r="G70" s="21">
        <v>0</v>
      </c>
    </row>
    <row r="71" spans="1:7" ht="10.5" hidden="1" customHeight="1" x14ac:dyDescent="0.3">
      <c r="A71" s="80"/>
      <c r="B71" s="19" t="s">
        <v>106</v>
      </c>
      <c r="C71" s="19">
        <v>8000</v>
      </c>
      <c r="D71" s="19" t="s">
        <v>118</v>
      </c>
      <c r="E71" s="21"/>
      <c r="F71" s="23" t="s">
        <v>110</v>
      </c>
      <c r="G71" s="21">
        <v>0</v>
      </c>
    </row>
    <row r="72" spans="1:7" ht="9" hidden="1" customHeight="1" x14ac:dyDescent="0.3">
      <c r="A72" s="80"/>
      <c r="B72" s="19" t="s">
        <v>45</v>
      </c>
      <c r="C72" s="19">
        <v>600</v>
      </c>
      <c r="D72" s="19" t="s">
        <v>95</v>
      </c>
      <c r="E72" s="21"/>
      <c r="F72" s="22" t="s">
        <v>178</v>
      </c>
      <c r="G72" s="21">
        <v>0</v>
      </c>
    </row>
    <row r="73" spans="1:7" ht="9" hidden="1" customHeight="1" x14ac:dyDescent="0.3">
      <c r="A73" s="80"/>
      <c r="B73" s="19" t="s">
        <v>48</v>
      </c>
      <c r="C73" s="19">
        <v>500</v>
      </c>
      <c r="D73" s="19" t="s">
        <v>44</v>
      </c>
      <c r="E73" s="21"/>
      <c r="F73" s="22" t="s">
        <v>178</v>
      </c>
      <c r="G73" s="21">
        <v>0</v>
      </c>
    </row>
    <row r="74" spans="1:7" ht="8.25" hidden="1" customHeight="1" x14ac:dyDescent="0.3">
      <c r="A74" s="80"/>
      <c r="B74" s="19" t="s">
        <v>33</v>
      </c>
      <c r="C74" s="19">
        <v>1000</v>
      </c>
      <c r="D74" s="19" t="s">
        <v>30</v>
      </c>
      <c r="E74" s="21"/>
      <c r="F74" s="23" t="s">
        <v>108</v>
      </c>
      <c r="G74" s="21">
        <v>0</v>
      </c>
    </row>
    <row r="75" spans="1:7" ht="9" hidden="1" customHeight="1" x14ac:dyDescent="0.3">
      <c r="A75" s="80"/>
      <c r="B75" s="19" t="s">
        <v>49</v>
      </c>
      <c r="C75" s="19">
        <v>500</v>
      </c>
      <c r="D75" s="19" t="s">
        <v>156</v>
      </c>
      <c r="E75" s="21"/>
      <c r="F75" s="23" t="s">
        <v>206</v>
      </c>
      <c r="G75" s="21">
        <v>0</v>
      </c>
    </row>
    <row r="76" spans="1:7" ht="11.25" hidden="1" customHeight="1" x14ac:dyDescent="0.3">
      <c r="A76" s="80"/>
      <c r="B76" s="19" t="s">
        <v>50</v>
      </c>
      <c r="C76" s="19">
        <v>3000</v>
      </c>
      <c r="D76" s="19" t="s">
        <v>142</v>
      </c>
      <c r="E76" s="21"/>
      <c r="F76" s="23" t="s">
        <v>141</v>
      </c>
      <c r="G76" s="21">
        <v>0</v>
      </c>
    </row>
    <row r="77" spans="1:7" ht="8.25" hidden="1" customHeight="1" x14ac:dyDescent="0.3">
      <c r="A77" s="81"/>
      <c r="B77" s="19" t="s">
        <v>33</v>
      </c>
      <c r="C77" s="19">
        <v>2000</v>
      </c>
      <c r="D77" s="19" t="s">
        <v>30</v>
      </c>
      <c r="E77" s="21"/>
      <c r="F77" s="23" t="s">
        <v>108</v>
      </c>
      <c r="G77" s="21">
        <v>0</v>
      </c>
    </row>
    <row r="78" spans="1:7" ht="9.75" hidden="1" customHeight="1" x14ac:dyDescent="0.3">
      <c r="A78" s="77" t="s">
        <v>81</v>
      </c>
      <c r="B78" s="78"/>
      <c r="C78" s="20">
        <f>SUM(C59:C77)</f>
        <v>31800</v>
      </c>
      <c r="D78" s="19"/>
      <c r="E78" s="21">
        <f>C78</f>
        <v>31800</v>
      </c>
      <c r="F78" s="23"/>
      <c r="G78" s="21">
        <v>0</v>
      </c>
    </row>
    <row r="79" spans="1:7" ht="9" hidden="1" customHeight="1" x14ac:dyDescent="0.3">
      <c r="A79" s="79">
        <v>45778</v>
      </c>
      <c r="B79" s="19" t="s">
        <v>45</v>
      </c>
      <c r="C79" s="19">
        <v>9000</v>
      </c>
      <c r="D79" s="19" t="s">
        <v>44</v>
      </c>
      <c r="E79" s="21"/>
      <c r="F79" s="22" t="s">
        <v>178</v>
      </c>
      <c r="G79" s="21">
        <v>0</v>
      </c>
    </row>
    <row r="80" spans="1:7" ht="9.75" hidden="1" customHeight="1" x14ac:dyDescent="0.3">
      <c r="A80" s="80"/>
      <c r="B80" s="19" t="s">
        <v>46</v>
      </c>
      <c r="C80" s="19">
        <v>300</v>
      </c>
      <c r="D80" s="19" t="s">
        <v>44</v>
      </c>
      <c r="E80" s="21"/>
      <c r="F80" s="22" t="s">
        <v>178</v>
      </c>
      <c r="G80" s="21">
        <v>0</v>
      </c>
    </row>
    <row r="81" spans="1:8" ht="10.5" hidden="1" customHeight="1" x14ac:dyDescent="0.3">
      <c r="A81" s="80"/>
      <c r="B81" s="19" t="s">
        <v>51</v>
      </c>
      <c r="C81" s="19">
        <v>500</v>
      </c>
      <c r="D81" s="19" t="s">
        <v>52</v>
      </c>
      <c r="E81" s="21"/>
      <c r="F81" s="23" t="s">
        <v>480</v>
      </c>
      <c r="G81" s="21"/>
    </row>
    <row r="82" spans="1:8" ht="9.75" hidden="1" customHeight="1" x14ac:dyDescent="0.3">
      <c r="A82" s="80"/>
      <c r="B82" s="19" t="s">
        <v>53</v>
      </c>
      <c r="C82" s="19">
        <v>500</v>
      </c>
      <c r="D82" s="19" t="s">
        <v>54</v>
      </c>
      <c r="E82" s="21"/>
      <c r="F82" s="22">
        <v>45834</v>
      </c>
      <c r="G82" s="21">
        <v>0</v>
      </c>
    </row>
    <row r="83" spans="1:8" ht="10.5" hidden="1" customHeight="1" x14ac:dyDescent="0.3">
      <c r="A83" s="80"/>
      <c r="B83" s="19" t="s">
        <v>55</v>
      </c>
      <c r="C83" s="19">
        <v>500</v>
      </c>
      <c r="D83" s="19" t="s">
        <v>54</v>
      </c>
      <c r="E83" s="21"/>
      <c r="F83" s="22">
        <v>45834</v>
      </c>
      <c r="G83" s="21">
        <v>0</v>
      </c>
    </row>
    <row r="84" spans="1:8" ht="11.25" hidden="1" customHeight="1" x14ac:dyDescent="0.3">
      <c r="A84" s="80"/>
      <c r="B84" s="19" t="s">
        <v>56</v>
      </c>
      <c r="C84" s="19">
        <v>350</v>
      </c>
      <c r="D84" s="19" t="s">
        <v>44</v>
      </c>
      <c r="E84" s="21"/>
      <c r="F84" s="22" t="s">
        <v>178</v>
      </c>
      <c r="G84" s="21">
        <v>0</v>
      </c>
    </row>
    <row r="85" spans="1:8" ht="10.5" hidden="1" customHeight="1" x14ac:dyDescent="0.3">
      <c r="A85" s="80"/>
      <c r="B85" s="19" t="s">
        <v>27</v>
      </c>
      <c r="C85" s="19">
        <v>2500</v>
      </c>
      <c r="D85" s="19" t="s">
        <v>101</v>
      </c>
      <c r="E85" s="21"/>
      <c r="F85" s="22">
        <v>45834</v>
      </c>
      <c r="G85" s="21">
        <v>0</v>
      </c>
      <c r="H85" t="s">
        <v>279</v>
      </c>
    </row>
    <row r="86" spans="1:8" ht="9" hidden="1" customHeight="1" x14ac:dyDescent="0.3">
      <c r="A86" s="80"/>
      <c r="B86" s="19" t="s">
        <v>48</v>
      </c>
      <c r="C86" s="19">
        <v>500</v>
      </c>
      <c r="D86" s="19" t="s">
        <v>44</v>
      </c>
      <c r="E86" s="21"/>
      <c r="F86" s="22" t="s">
        <v>178</v>
      </c>
      <c r="G86" s="21">
        <v>0</v>
      </c>
    </row>
    <row r="87" spans="1:8" ht="11.25" hidden="1" customHeight="1" x14ac:dyDescent="0.3">
      <c r="A87" s="80"/>
      <c r="B87" s="19" t="s">
        <v>57</v>
      </c>
      <c r="C87" s="19">
        <v>500</v>
      </c>
      <c r="D87" s="19" t="s">
        <v>54</v>
      </c>
      <c r="E87" s="21"/>
      <c r="F87" s="22">
        <v>45834</v>
      </c>
      <c r="G87" s="21">
        <v>0</v>
      </c>
    </row>
    <row r="88" spans="1:8" ht="11.25" hidden="1" customHeight="1" x14ac:dyDescent="0.3">
      <c r="A88" s="80"/>
      <c r="B88" s="19" t="s">
        <v>58</v>
      </c>
      <c r="C88" s="19">
        <v>4000</v>
      </c>
      <c r="D88" s="19" t="s">
        <v>203</v>
      </c>
      <c r="E88" s="21"/>
      <c r="F88" s="23" t="s">
        <v>304</v>
      </c>
      <c r="G88" s="21">
        <v>0</v>
      </c>
    </row>
    <row r="89" spans="1:8" ht="9.75" hidden="1" customHeight="1" x14ac:dyDescent="0.3">
      <c r="A89" s="80"/>
      <c r="B89" s="19" t="s">
        <v>59</v>
      </c>
      <c r="C89" s="19">
        <v>1500</v>
      </c>
      <c r="D89" s="19" t="s">
        <v>22</v>
      </c>
      <c r="E89" s="21"/>
      <c r="F89" s="23" t="s">
        <v>235</v>
      </c>
      <c r="G89" s="21">
        <v>0</v>
      </c>
    </row>
    <row r="90" spans="1:8" ht="10.5" hidden="1" customHeight="1" x14ac:dyDescent="0.3">
      <c r="A90" s="80"/>
      <c r="B90" s="19" t="s">
        <v>25</v>
      </c>
      <c r="C90" s="19">
        <v>1500</v>
      </c>
      <c r="D90" s="19" t="s">
        <v>22</v>
      </c>
      <c r="E90" s="21"/>
      <c r="F90" s="23" t="s">
        <v>235</v>
      </c>
      <c r="G90" s="21">
        <v>0</v>
      </c>
    </row>
    <row r="91" spans="1:8" ht="9" hidden="1" customHeight="1" x14ac:dyDescent="0.3">
      <c r="A91" s="80"/>
      <c r="B91" s="19" t="s">
        <v>59</v>
      </c>
      <c r="C91" s="19">
        <v>500</v>
      </c>
      <c r="D91" s="19" t="s">
        <v>52</v>
      </c>
      <c r="E91" s="1"/>
      <c r="F91" s="23" t="s">
        <v>480</v>
      </c>
      <c r="G91" s="21"/>
    </row>
    <row r="92" spans="1:8" ht="9.75" hidden="1" customHeight="1" x14ac:dyDescent="0.3">
      <c r="A92" s="80"/>
      <c r="B92" s="19" t="s">
        <v>57</v>
      </c>
      <c r="C92" s="19">
        <v>1000</v>
      </c>
      <c r="D92" s="19" t="s">
        <v>54</v>
      </c>
      <c r="E92" s="21"/>
      <c r="F92" s="22">
        <v>45834</v>
      </c>
      <c r="G92" s="21">
        <v>0</v>
      </c>
    </row>
    <row r="93" spans="1:8" ht="9" hidden="1" customHeight="1" x14ac:dyDescent="0.3">
      <c r="A93" s="80"/>
      <c r="B93" s="19" t="s">
        <v>60</v>
      </c>
      <c r="C93" s="19">
        <v>5000</v>
      </c>
      <c r="D93" s="19" t="s">
        <v>101</v>
      </c>
      <c r="E93" s="21"/>
      <c r="F93" s="22">
        <v>45834</v>
      </c>
      <c r="G93" s="21">
        <v>0</v>
      </c>
    </row>
    <row r="94" spans="1:8" ht="9" hidden="1" customHeight="1" x14ac:dyDescent="0.3">
      <c r="A94" s="80"/>
      <c r="B94" s="19" t="s">
        <v>14</v>
      </c>
      <c r="C94" s="19">
        <v>10000</v>
      </c>
      <c r="D94" s="19" t="s">
        <v>101</v>
      </c>
      <c r="E94" s="21"/>
      <c r="F94" s="22">
        <v>45834</v>
      </c>
      <c r="G94" s="21">
        <v>0</v>
      </c>
    </row>
    <row r="95" spans="1:8" ht="9.75" hidden="1" customHeight="1" x14ac:dyDescent="0.3">
      <c r="A95" s="80"/>
      <c r="B95" s="19" t="s">
        <v>25</v>
      </c>
      <c r="C95" s="35">
        <v>1500</v>
      </c>
      <c r="D95" s="19" t="s">
        <v>22</v>
      </c>
      <c r="E95" s="21"/>
      <c r="F95" s="23" t="s">
        <v>235</v>
      </c>
      <c r="G95" s="21">
        <v>0</v>
      </c>
    </row>
    <row r="96" spans="1:8" ht="9" hidden="1" customHeight="1" x14ac:dyDescent="0.3">
      <c r="A96" s="80"/>
      <c r="B96" s="19" t="s">
        <v>61</v>
      </c>
      <c r="C96" s="19">
        <v>15000</v>
      </c>
      <c r="D96" s="19" t="s">
        <v>62</v>
      </c>
      <c r="E96" s="21"/>
      <c r="F96" s="23" t="s">
        <v>162</v>
      </c>
      <c r="G96" s="21">
        <v>0</v>
      </c>
    </row>
    <row r="97" spans="1:7" ht="9" hidden="1" customHeight="1" x14ac:dyDescent="0.3">
      <c r="A97" s="80"/>
      <c r="B97" s="19" t="s">
        <v>49</v>
      </c>
      <c r="C97" s="19">
        <v>1500</v>
      </c>
      <c r="D97" s="19" t="s">
        <v>156</v>
      </c>
      <c r="E97" s="21"/>
      <c r="F97" s="23" t="s">
        <v>206</v>
      </c>
      <c r="G97" s="21">
        <v>0</v>
      </c>
    </row>
    <row r="98" spans="1:7" ht="9.75" hidden="1" customHeight="1" x14ac:dyDescent="0.3">
      <c r="A98" s="80"/>
      <c r="B98" s="19" t="s">
        <v>63</v>
      </c>
      <c r="C98" s="19">
        <v>500</v>
      </c>
      <c r="D98" s="19" t="s">
        <v>156</v>
      </c>
      <c r="E98" s="21"/>
      <c r="F98" s="23" t="s">
        <v>206</v>
      </c>
      <c r="G98" s="21">
        <v>0</v>
      </c>
    </row>
    <row r="99" spans="1:7" ht="10.5" hidden="1" customHeight="1" x14ac:dyDescent="0.3">
      <c r="A99" s="80"/>
      <c r="B99" s="19" t="s">
        <v>27</v>
      </c>
      <c r="C99" s="19">
        <v>4000</v>
      </c>
      <c r="D99" s="19" t="s">
        <v>101</v>
      </c>
      <c r="E99" s="21"/>
      <c r="F99" s="22">
        <v>45834</v>
      </c>
      <c r="G99" s="21">
        <v>0</v>
      </c>
    </row>
    <row r="100" spans="1:7" ht="10.5" hidden="1" customHeight="1" x14ac:dyDescent="0.3">
      <c r="A100" s="80"/>
      <c r="B100" s="19" t="s">
        <v>64</v>
      </c>
      <c r="C100" s="19">
        <v>10000</v>
      </c>
      <c r="D100" s="24" t="s">
        <v>5</v>
      </c>
      <c r="E100" s="21"/>
      <c r="F100" s="23" t="s">
        <v>110</v>
      </c>
      <c r="G100" s="21">
        <v>0</v>
      </c>
    </row>
    <row r="101" spans="1:7" ht="11.25" hidden="1" customHeight="1" x14ac:dyDescent="0.3">
      <c r="A101" s="80"/>
      <c r="B101" s="19" t="s">
        <v>27</v>
      </c>
      <c r="C101" s="19">
        <v>5000</v>
      </c>
      <c r="D101" s="19" t="s">
        <v>101</v>
      </c>
      <c r="E101" s="21"/>
      <c r="F101" s="22">
        <v>45834</v>
      </c>
      <c r="G101" s="21">
        <v>0</v>
      </c>
    </row>
    <row r="102" spans="1:7" ht="9" hidden="1" customHeight="1" x14ac:dyDescent="0.3">
      <c r="A102" s="80"/>
      <c r="B102" s="19" t="s">
        <v>46</v>
      </c>
      <c r="C102" s="19">
        <v>450</v>
      </c>
      <c r="D102" s="19" t="s">
        <v>44</v>
      </c>
      <c r="E102" s="21"/>
      <c r="F102" s="22" t="s">
        <v>178</v>
      </c>
      <c r="G102" s="21">
        <v>0</v>
      </c>
    </row>
    <row r="103" spans="1:7" ht="9" hidden="1" customHeight="1" x14ac:dyDescent="0.3">
      <c r="A103" s="80"/>
      <c r="B103" s="19" t="s">
        <v>56</v>
      </c>
      <c r="C103" s="19">
        <v>350</v>
      </c>
      <c r="D103" s="19" t="s">
        <v>44</v>
      </c>
      <c r="E103" s="21"/>
      <c r="F103" s="22" t="s">
        <v>178</v>
      </c>
      <c r="G103" s="21">
        <v>0</v>
      </c>
    </row>
    <row r="104" spans="1:7" ht="9" hidden="1" customHeight="1" x14ac:dyDescent="0.3">
      <c r="A104" s="81"/>
      <c r="B104" s="19" t="s">
        <v>65</v>
      </c>
      <c r="C104" s="19">
        <v>10000</v>
      </c>
      <c r="D104" s="24" t="s">
        <v>5</v>
      </c>
      <c r="E104" s="21"/>
      <c r="F104" s="23" t="s">
        <v>110</v>
      </c>
      <c r="G104" s="21">
        <v>0</v>
      </c>
    </row>
    <row r="105" spans="1:7" ht="9" hidden="1" customHeight="1" x14ac:dyDescent="0.3">
      <c r="A105" s="77" t="s">
        <v>80</v>
      </c>
      <c r="B105" s="78"/>
      <c r="C105" s="20">
        <f>SUM(C79:C104)</f>
        <v>86450</v>
      </c>
      <c r="D105" s="19"/>
      <c r="E105" s="21">
        <f>C105</f>
        <v>86450</v>
      </c>
      <c r="F105" s="23"/>
      <c r="G105" s="21">
        <v>0</v>
      </c>
    </row>
    <row r="106" spans="1:7" ht="9.75" hidden="1" customHeight="1" x14ac:dyDescent="0.3">
      <c r="A106" s="79">
        <v>45809</v>
      </c>
      <c r="B106" s="19" t="s">
        <v>46</v>
      </c>
      <c r="C106" s="19">
        <v>300</v>
      </c>
      <c r="D106" s="19" t="s">
        <v>30</v>
      </c>
      <c r="E106" s="21"/>
      <c r="F106" s="23" t="s">
        <v>108</v>
      </c>
      <c r="G106" s="21">
        <v>0</v>
      </c>
    </row>
    <row r="107" spans="1:7" ht="9" hidden="1" customHeight="1" x14ac:dyDescent="0.3">
      <c r="A107" s="80"/>
      <c r="B107" s="19" t="s">
        <v>66</v>
      </c>
      <c r="C107" s="19">
        <v>1000</v>
      </c>
      <c r="D107" s="19" t="s">
        <v>67</v>
      </c>
      <c r="E107" s="21"/>
      <c r="F107" s="23" t="s">
        <v>120</v>
      </c>
      <c r="G107" s="21">
        <v>0</v>
      </c>
    </row>
    <row r="108" spans="1:7" ht="9.75" hidden="1" customHeight="1" x14ac:dyDescent="0.3">
      <c r="A108" s="80"/>
      <c r="B108" s="19" t="s">
        <v>53</v>
      </c>
      <c r="C108" s="19">
        <v>500</v>
      </c>
      <c r="D108" s="19" t="s">
        <v>54</v>
      </c>
      <c r="E108" s="21"/>
      <c r="F108" s="22">
        <v>45834</v>
      </c>
      <c r="G108" s="21">
        <v>0</v>
      </c>
    </row>
    <row r="109" spans="1:7" ht="10.5" hidden="1" customHeight="1" x14ac:dyDescent="0.3">
      <c r="A109" s="80"/>
      <c r="B109" s="19" t="s">
        <v>46</v>
      </c>
      <c r="C109" s="19">
        <v>300</v>
      </c>
      <c r="D109" s="19" t="s">
        <v>44</v>
      </c>
      <c r="E109" s="21"/>
      <c r="F109" s="22" t="s">
        <v>178</v>
      </c>
      <c r="G109" s="21">
        <v>0</v>
      </c>
    </row>
    <row r="110" spans="1:7" ht="9" hidden="1" customHeight="1" x14ac:dyDescent="0.3">
      <c r="A110" s="80"/>
      <c r="B110" s="19" t="s">
        <v>43</v>
      </c>
      <c r="C110" s="19">
        <v>500</v>
      </c>
      <c r="D110" s="19" t="s">
        <v>30</v>
      </c>
      <c r="E110" s="21"/>
      <c r="F110" s="23" t="s">
        <v>108</v>
      </c>
      <c r="G110" s="21">
        <v>0</v>
      </c>
    </row>
    <row r="111" spans="1:7" ht="9" hidden="1" customHeight="1" x14ac:dyDescent="0.3">
      <c r="A111" s="80"/>
      <c r="B111" s="19" t="s">
        <v>43</v>
      </c>
      <c r="C111" s="19">
        <v>500</v>
      </c>
      <c r="D111" s="19" t="s">
        <v>30</v>
      </c>
      <c r="E111" s="21"/>
      <c r="F111" s="23" t="s">
        <v>108</v>
      </c>
      <c r="G111" s="21">
        <v>0</v>
      </c>
    </row>
    <row r="112" spans="1:7" ht="11.25" hidden="1" customHeight="1" x14ac:dyDescent="0.3">
      <c r="A112" s="80"/>
      <c r="B112" s="19" t="s">
        <v>45</v>
      </c>
      <c r="C112" s="19">
        <v>2900</v>
      </c>
      <c r="D112" s="19" t="s">
        <v>44</v>
      </c>
      <c r="E112" s="21"/>
      <c r="F112" s="22" t="s">
        <v>178</v>
      </c>
      <c r="G112" s="21">
        <v>0</v>
      </c>
    </row>
    <row r="113" spans="1:7" ht="9" hidden="1" customHeight="1" x14ac:dyDescent="0.3">
      <c r="A113" s="80"/>
      <c r="B113" s="19" t="s">
        <v>45</v>
      </c>
      <c r="C113" s="19">
        <v>300</v>
      </c>
      <c r="D113" s="19" t="s">
        <v>44</v>
      </c>
      <c r="E113" s="21"/>
      <c r="F113" s="22" t="s">
        <v>178</v>
      </c>
      <c r="G113" s="21">
        <v>0</v>
      </c>
    </row>
    <row r="114" spans="1:7" ht="9" hidden="1" customHeight="1" x14ac:dyDescent="0.3">
      <c r="A114" s="80"/>
      <c r="B114" s="19" t="s">
        <v>68</v>
      </c>
      <c r="C114" s="19">
        <v>9000</v>
      </c>
      <c r="D114" s="19" t="s">
        <v>101</v>
      </c>
      <c r="E114" s="21"/>
      <c r="F114" s="22">
        <v>45834</v>
      </c>
      <c r="G114" s="21">
        <v>0</v>
      </c>
    </row>
    <row r="115" spans="1:7" ht="9" hidden="1" customHeight="1" x14ac:dyDescent="0.3">
      <c r="A115" s="80"/>
      <c r="B115" s="19" t="s">
        <v>69</v>
      </c>
      <c r="C115" s="19">
        <v>10000</v>
      </c>
      <c r="D115" s="19" t="s">
        <v>101</v>
      </c>
      <c r="E115" s="21"/>
      <c r="F115" s="22">
        <v>45834</v>
      </c>
      <c r="G115" s="21">
        <v>0</v>
      </c>
    </row>
    <row r="116" spans="1:7" ht="9.75" hidden="1" customHeight="1" x14ac:dyDescent="0.3">
      <c r="A116" s="80"/>
      <c r="B116" s="19" t="s">
        <v>53</v>
      </c>
      <c r="C116" s="19">
        <v>500</v>
      </c>
      <c r="D116" s="19" t="s">
        <v>54</v>
      </c>
      <c r="E116" s="21"/>
      <c r="F116" s="22">
        <v>45834</v>
      </c>
      <c r="G116" s="21">
        <v>0</v>
      </c>
    </row>
    <row r="117" spans="1:7" ht="9.75" hidden="1" customHeight="1" x14ac:dyDescent="0.3">
      <c r="A117" s="80"/>
      <c r="B117" s="19" t="s">
        <v>70</v>
      </c>
      <c r="C117" s="19">
        <v>2500</v>
      </c>
      <c r="D117" s="24" t="s">
        <v>5</v>
      </c>
      <c r="E117" s="21"/>
      <c r="F117" s="23" t="s">
        <v>110</v>
      </c>
      <c r="G117" s="21">
        <v>0</v>
      </c>
    </row>
    <row r="118" spans="1:7" ht="9.75" hidden="1" customHeight="1" x14ac:dyDescent="0.3">
      <c r="A118" s="80"/>
      <c r="B118" s="19" t="s">
        <v>18</v>
      </c>
      <c r="C118" s="19">
        <v>2000</v>
      </c>
      <c r="D118" s="24" t="s">
        <v>5</v>
      </c>
      <c r="E118" s="21"/>
      <c r="F118" s="23" t="s">
        <v>110</v>
      </c>
      <c r="G118" s="21">
        <v>0</v>
      </c>
    </row>
    <row r="119" spans="1:7" ht="9.75" hidden="1" customHeight="1" x14ac:dyDescent="0.3">
      <c r="A119" s="80"/>
      <c r="B119" s="19" t="s">
        <v>48</v>
      </c>
      <c r="C119" s="19">
        <v>4000</v>
      </c>
      <c r="D119" s="19" t="s">
        <v>44</v>
      </c>
      <c r="E119" s="21"/>
      <c r="F119" s="22" t="s">
        <v>178</v>
      </c>
      <c r="G119" s="21">
        <v>0</v>
      </c>
    </row>
    <row r="120" spans="1:7" ht="9.75" hidden="1" customHeight="1" x14ac:dyDescent="0.3">
      <c r="A120" s="80"/>
      <c r="B120" s="19" t="s">
        <v>119</v>
      </c>
      <c r="C120" s="19">
        <v>5000</v>
      </c>
      <c r="D120" s="19" t="s">
        <v>156</v>
      </c>
      <c r="E120" s="21"/>
      <c r="F120" s="23" t="s">
        <v>206</v>
      </c>
      <c r="G120" s="21">
        <v>0</v>
      </c>
    </row>
    <row r="121" spans="1:7" ht="9.75" hidden="1" customHeight="1" x14ac:dyDescent="0.3">
      <c r="A121" s="80"/>
      <c r="B121" s="19" t="s">
        <v>45</v>
      </c>
      <c r="C121" s="19">
        <v>1000</v>
      </c>
      <c r="D121" s="19" t="s">
        <v>44</v>
      </c>
      <c r="E121" s="21"/>
      <c r="F121" s="22" t="s">
        <v>178</v>
      </c>
      <c r="G121" s="21">
        <v>0</v>
      </c>
    </row>
    <row r="122" spans="1:7" ht="9.75" hidden="1" customHeight="1" x14ac:dyDescent="0.3">
      <c r="A122" s="80"/>
      <c r="B122" s="19" t="s">
        <v>43</v>
      </c>
      <c r="C122" s="19">
        <v>500</v>
      </c>
      <c r="D122" s="19" t="s">
        <v>30</v>
      </c>
      <c r="E122" s="21"/>
      <c r="F122" s="23" t="s">
        <v>108</v>
      </c>
      <c r="G122" s="21">
        <v>0</v>
      </c>
    </row>
    <row r="123" spans="1:7" ht="9" hidden="1" customHeight="1" x14ac:dyDescent="0.3">
      <c r="A123" s="80"/>
      <c r="B123" s="19" t="s">
        <v>71</v>
      </c>
      <c r="C123" s="19">
        <v>5000</v>
      </c>
      <c r="D123" s="19" t="s">
        <v>67</v>
      </c>
      <c r="E123" s="21"/>
      <c r="F123" s="23" t="s">
        <v>120</v>
      </c>
      <c r="G123" s="21">
        <v>0</v>
      </c>
    </row>
    <row r="124" spans="1:7" ht="10.5" hidden="1" customHeight="1" x14ac:dyDescent="0.3">
      <c r="A124" s="80"/>
      <c r="B124" s="19" t="s">
        <v>121</v>
      </c>
      <c r="C124" s="19">
        <v>9000</v>
      </c>
      <c r="D124" s="19" t="s">
        <v>101</v>
      </c>
      <c r="E124" s="21"/>
      <c r="F124" s="22">
        <v>45834</v>
      </c>
      <c r="G124" s="21">
        <v>0</v>
      </c>
    </row>
    <row r="125" spans="1:7" ht="9.75" hidden="1" customHeight="1" x14ac:dyDescent="0.3">
      <c r="A125" s="80"/>
      <c r="B125" s="19" t="s">
        <v>53</v>
      </c>
      <c r="C125" s="19">
        <v>500</v>
      </c>
      <c r="D125" s="19" t="s">
        <v>54</v>
      </c>
      <c r="E125" s="21"/>
      <c r="F125" s="22">
        <v>45834</v>
      </c>
      <c r="G125" s="21">
        <v>0</v>
      </c>
    </row>
    <row r="126" spans="1:7" ht="7.5" hidden="1" customHeight="1" x14ac:dyDescent="0.3">
      <c r="A126" s="81"/>
      <c r="B126" s="19" t="s">
        <v>47</v>
      </c>
      <c r="C126" s="19">
        <v>500</v>
      </c>
      <c r="D126" s="19" t="s">
        <v>52</v>
      </c>
      <c r="E126" s="21"/>
      <c r="F126" s="23" t="s">
        <v>480</v>
      </c>
      <c r="G126" s="21"/>
    </row>
    <row r="127" spans="1:7" ht="9" hidden="1" customHeight="1" x14ac:dyDescent="0.3">
      <c r="A127" s="77" t="s">
        <v>111</v>
      </c>
      <c r="B127" s="78"/>
      <c r="C127" s="20">
        <f>SUM(C106:C126)</f>
        <v>55800</v>
      </c>
      <c r="D127" s="19"/>
      <c r="E127" s="21">
        <f>C127</f>
        <v>55800</v>
      </c>
      <c r="F127" s="23"/>
      <c r="G127" s="21">
        <v>0</v>
      </c>
    </row>
    <row r="128" spans="1:7" ht="11.25" hidden="1" customHeight="1" x14ac:dyDescent="0.3">
      <c r="A128" s="27">
        <v>45824</v>
      </c>
      <c r="B128" s="26" t="s">
        <v>114</v>
      </c>
      <c r="C128" s="19">
        <v>2000</v>
      </c>
      <c r="D128" s="19" t="s">
        <v>142</v>
      </c>
      <c r="E128" s="21"/>
      <c r="F128" s="23" t="s">
        <v>141</v>
      </c>
      <c r="G128" s="21">
        <v>0</v>
      </c>
    </row>
    <row r="129" spans="1:7" ht="9.75" hidden="1" customHeight="1" x14ac:dyDescent="0.3">
      <c r="A129" s="27">
        <v>45824</v>
      </c>
      <c r="B129" s="26" t="s">
        <v>45</v>
      </c>
      <c r="C129" s="19">
        <v>300</v>
      </c>
      <c r="D129" s="19" t="s">
        <v>95</v>
      </c>
      <c r="E129" s="21"/>
      <c r="F129" s="22" t="s">
        <v>178</v>
      </c>
      <c r="G129" s="21">
        <v>0</v>
      </c>
    </row>
    <row r="130" spans="1:7" ht="9" hidden="1" customHeight="1" x14ac:dyDescent="0.3">
      <c r="A130" s="27">
        <v>45824</v>
      </c>
      <c r="B130" s="26" t="s">
        <v>112</v>
      </c>
      <c r="C130" s="19">
        <v>2500</v>
      </c>
      <c r="D130" s="19" t="s">
        <v>44</v>
      </c>
      <c r="E130" s="21"/>
      <c r="F130" s="22" t="s">
        <v>178</v>
      </c>
      <c r="G130" s="21">
        <v>0</v>
      </c>
    </row>
    <row r="131" spans="1:7" ht="8.25" hidden="1" customHeight="1" x14ac:dyDescent="0.3">
      <c r="A131" s="27">
        <v>45827</v>
      </c>
      <c r="B131" s="26" t="s">
        <v>113</v>
      </c>
      <c r="C131" s="19">
        <v>2000</v>
      </c>
      <c r="D131" s="19" t="s">
        <v>54</v>
      </c>
      <c r="E131" s="21"/>
      <c r="F131" s="22">
        <v>45834</v>
      </c>
      <c r="G131" s="21">
        <v>0</v>
      </c>
    </row>
    <row r="132" spans="1:7" ht="9.75" hidden="1" customHeight="1" x14ac:dyDescent="0.3">
      <c r="A132" s="27">
        <v>45827</v>
      </c>
      <c r="B132" s="26" t="s">
        <v>45</v>
      </c>
      <c r="C132" s="19">
        <v>500</v>
      </c>
      <c r="D132" s="19" t="s">
        <v>44</v>
      </c>
      <c r="E132" s="21"/>
      <c r="F132" s="22" t="s">
        <v>178</v>
      </c>
      <c r="G132" s="21">
        <v>0</v>
      </c>
    </row>
    <row r="133" spans="1:7" ht="9.75" hidden="1" customHeight="1" x14ac:dyDescent="0.3">
      <c r="A133" s="27">
        <v>45827</v>
      </c>
      <c r="B133" s="26" t="s">
        <v>115</v>
      </c>
      <c r="C133" s="19">
        <v>2000</v>
      </c>
      <c r="D133" s="19" t="s">
        <v>203</v>
      </c>
      <c r="E133" s="21"/>
      <c r="F133" s="23" t="s">
        <v>304</v>
      </c>
      <c r="G133" s="21">
        <v>0</v>
      </c>
    </row>
    <row r="134" spans="1:7" ht="9.75" hidden="1" customHeight="1" x14ac:dyDescent="0.3">
      <c r="A134" s="27">
        <v>45827</v>
      </c>
      <c r="B134" s="26" t="s">
        <v>53</v>
      </c>
      <c r="C134" s="19">
        <v>500</v>
      </c>
      <c r="D134" s="19" t="s">
        <v>117</v>
      </c>
      <c r="E134" s="21"/>
      <c r="F134" s="22">
        <v>45834</v>
      </c>
      <c r="G134" s="21">
        <v>0</v>
      </c>
    </row>
    <row r="135" spans="1:7" ht="9" hidden="1" customHeight="1" x14ac:dyDescent="0.3">
      <c r="A135" s="31">
        <v>45827</v>
      </c>
      <c r="B135" s="26" t="s">
        <v>45</v>
      </c>
      <c r="C135" s="19">
        <v>1800</v>
      </c>
      <c r="D135" s="19" t="s">
        <v>44</v>
      </c>
      <c r="E135" s="21"/>
      <c r="F135" s="22" t="s">
        <v>178</v>
      </c>
      <c r="G135" s="21">
        <v>0</v>
      </c>
    </row>
    <row r="136" spans="1:7" ht="9.75" hidden="1" customHeight="1" x14ac:dyDescent="0.3">
      <c r="A136" s="27">
        <v>45832</v>
      </c>
      <c r="B136" s="26" t="s">
        <v>124</v>
      </c>
      <c r="C136" s="19">
        <v>1000</v>
      </c>
      <c r="D136" s="19" t="s">
        <v>30</v>
      </c>
      <c r="E136" s="21"/>
      <c r="F136" s="23" t="s">
        <v>388</v>
      </c>
      <c r="G136" s="21">
        <v>0</v>
      </c>
    </row>
    <row r="137" spans="1:7" ht="9.75" hidden="1" customHeight="1" x14ac:dyDescent="0.3">
      <c r="A137" s="27">
        <v>45832</v>
      </c>
      <c r="B137" s="26" t="s">
        <v>45</v>
      </c>
      <c r="C137" s="19">
        <v>700</v>
      </c>
      <c r="D137" s="19" t="s">
        <v>44</v>
      </c>
      <c r="E137" s="21"/>
      <c r="F137" s="22" t="s">
        <v>178</v>
      </c>
      <c r="G137" s="21">
        <v>0</v>
      </c>
    </row>
    <row r="138" spans="1:7" ht="9" customHeight="1" x14ac:dyDescent="0.3">
      <c r="A138" s="27">
        <v>45832</v>
      </c>
      <c r="B138" s="26" t="s">
        <v>125</v>
      </c>
      <c r="C138" s="19">
        <v>24000</v>
      </c>
      <c r="D138" s="19" t="s">
        <v>149</v>
      </c>
      <c r="E138" s="21"/>
      <c r="F138" s="23" t="s">
        <v>191</v>
      </c>
      <c r="G138" s="21">
        <v>0</v>
      </c>
    </row>
    <row r="139" spans="1:7" ht="11.25" hidden="1" customHeight="1" x14ac:dyDescent="0.3">
      <c r="A139" s="27">
        <v>45834</v>
      </c>
      <c r="B139" s="26" t="s">
        <v>45</v>
      </c>
      <c r="C139" s="19">
        <v>500</v>
      </c>
      <c r="D139" s="19" t="s">
        <v>44</v>
      </c>
      <c r="E139" s="21"/>
      <c r="F139" s="22" t="s">
        <v>178</v>
      </c>
      <c r="G139" s="21">
        <v>0</v>
      </c>
    </row>
    <row r="140" spans="1:7" ht="8.25" hidden="1" customHeight="1" x14ac:dyDescent="0.3">
      <c r="A140" s="27">
        <v>45834</v>
      </c>
      <c r="B140" s="26" t="s">
        <v>126</v>
      </c>
      <c r="C140" s="19">
        <v>16000</v>
      </c>
      <c r="D140" s="19" t="s">
        <v>150</v>
      </c>
      <c r="E140" s="21"/>
      <c r="F140" s="23" t="s">
        <v>177</v>
      </c>
      <c r="G140" s="21">
        <v>0</v>
      </c>
    </row>
    <row r="141" spans="1:7" ht="9" hidden="1" customHeight="1" x14ac:dyDescent="0.3">
      <c r="A141" s="27">
        <v>45835</v>
      </c>
      <c r="B141" s="26" t="s">
        <v>37</v>
      </c>
      <c r="C141" s="19">
        <v>1000</v>
      </c>
      <c r="D141" s="19" t="s">
        <v>127</v>
      </c>
      <c r="E141" s="21"/>
      <c r="F141" s="23" t="s">
        <v>502</v>
      </c>
      <c r="G141" s="21">
        <v>0</v>
      </c>
    </row>
    <row r="142" spans="1:7" ht="9.75" hidden="1" customHeight="1" x14ac:dyDescent="0.3">
      <c r="A142" s="27">
        <v>45835</v>
      </c>
      <c r="B142" s="26" t="s">
        <v>66</v>
      </c>
      <c r="C142" s="19">
        <v>1000</v>
      </c>
      <c r="D142" s="19" t="s">
        <v>67</v>
      </c>
      <c r="E142" s="21"/>
      <c r="F142" s="23" t="s">
        <v>153</v>
      </c>
      <c r="G142" s="21">
        <v>0</v>
      </c>
    </row>
    <row r="143" spans="1:7" ht="8.25" hidden="1" customHeight="1" x14ac:dyDescent="0.3">
      <c r="A143" s="27">
        <v>45835</v>
      </c>
      <c r="B143" s="26" t="s">
        <v>45</v>
      </c>
      <c r="C143" s="19">
        <v>300</v>
      </c>
      <c r="D143" s="19" t="s">
        <v>44</v>
      </c>
      <c r="E143" s="21"/>
      <c r="F143" s="22" t="s">
        <v>178</v>
      </c>
      <c r="G143" s="21">
        <v>0</v>
      </c>
    </row>
    <row r="144" spans="1:7" ht="10.5" hidden="1" customHeight="1" x14ac:dyDescent="0.3">
      <c r="A144" s="27">
        <v>45835</v>
      </c>
      <c r="B144" s="26" t="s">
        <v>128</v>
      </c>
      <c r="C144" s="19">
        <v>2500</v>
      </c>
      <c r="D144" s="19" t="s">
        <v>133</v>
      </c>
      <c r="E144" s="21"/>
      <c r="F144" s="23" t="s">
        <v>167</v>
      </c>
      <c r="G144" s="21">
        <v>0</v>
      </c>
    </row>
    <row r="145" spans="1:7" ht="11.25" hidden="1" customHeight="1" x14ac:dyDescent="0.3">
      <c r="A145" s="27">
        <v>45835</v>
      </c>
      <c r="B145" s="26" t="s">
        <v>129</v>
      </c>
      <c r="C145" s="19">
        <v>3000</v>
      </c>
      <c r="D145" s="19" t="s">
        <v>130</v>
      </c>
      <c r="E145" s="21"/>
      <c r="F145" s="23" t="s">
        <v>222</v>
      </c>
      <c r="G145" s="21">
        <v>0</v>
      </c>
    </row>
    <row r="146" spans="1:7" ht="9" hidden="1" customHeight="1" x14ac:dyDescent="0.3">
      <c r="A146" s="27">
        <v>45835</v>
      </c>
      <c r="B146" s="26" t="s">
        <v>45</v>
      </c>
      <c r="C146" s="19">
        <v>1500</v>
      </c>
      <c r="D146" s="19" t="s">
        <v>44</v>
      </c>
      <c r="E146" s="21"/>
      <c r="F146" s="22" t="s">
        <v>178</v>
      </c>
      <c r="G146" s="21">
        <v>0</v>
      </c>
    </row>
    <row r="147" spans="1:7" ht="11.25" hidden="1" customHeight="1" x14ac:dyDescent="0.3">
      <c r="A147" s="27">
        <v>45838</v>
      </c>
      <c r="B147" s="26" t="s">
        <v>45</v>
      </c>
      <c r="C147" s="19">
        <v>2500</v>
      </c>
      <c r="D147" s="19" t="s">
        <v>44</v>
      </c>
      <c r="E147" s="21">
        <f>SUM(C128:C147)</f>
        <v>65600</v>
      </c>
      <c r="F147" s="22" t="s">
        <v>178</v>
      </c>
      <c r="G147" s="21">
        <v>0</v>
      </c>
    </row>
    <row r="148" spans="1:7" ht="11.25" hidden="1" customHeight="1" x14ac:dyDescent="0.3">
      <c r="A148" s="27">
        <v>45840</v>
      </c>
      <c r="B148" s="26" t="s">
        <v>131</v>
      </c>
      <c r="C148" s="19">
        <v>5000</v>
      </c>
      <c r="D148" s="19" t="s">
        <v>67</v>
      </c>
      <c r="E148" s="21"/>
      <c r="F148" s="23" t="s">
        <v>153</v>
      </c>
      <c r="G148" s="21">
        <v>0</v>
      </c>
    </row>
    <row r="149" spans="1:7" ht="11.25" hidden="1" customHeight="1" x14ac:dyDescent="0.3">
      <c r="A149" s="27">
        <v>45840</v>
      </c>
      <c r="B149" s="26" t="s">
        <v>53</v>
      </c>
      <c r="C149" s="19">
        <v>500</v>
      </c>
      <c r="D149" s="19" t="s">
        <v>54</v>
      </c>
      <c r="E149" s="21"/>
      <c r="F149" s="22">
        <v>45861</v>
      </c>
      <c r="G149" s="21">
        <v>0</v>
      </c>
    </row>
    <row r="150" spans="1:7" ht="9" hidden="1" customHeight="1" x14ac:dyDescent="0.3">
      <c r="A150" s="27">
        <v>45841</v>
      </c>
      <c r="B150" s="26" t="s">
        <v>131</v>
      </c>
      <c r="C150" s="19">
        <v>35000</v>
      </c>
      <c r="D150" s="19" t="s">
        <v>67</v>
      </c>
      <c r="E150" s="21"/>
      <c r="F150" s="23" t="s">
        <v>153</v>
      </c>
      <c r="G150" s="21">
        <v>0</v>
      </c>
    </row>
    <row r="151" spans="1:7" ht="9" hidden="1" customHeight="1" x14ac:dyDescent="0.3">
      <c r="A151" s="27">
        <v>45845</v>
      </c>
      <c r="B151" s="26" t="s">
        <v>132</v>
      </c>
      <c r="C151" s="19">
        <v>10000</v>
      </c>
      <c r="D151" s="19" t="s">
        <v>133</v>
      </c>
      <c r="E151" s="21"/>
      <c r="F151" s="23" t="s">
        <v>167</v>
      </c>
      <c r="G151" s="21">
        <v>0</v>
      </c>
    </row>
    <row r="152" spans="1:7" ht="9.75" hidden="1" customHeight="1" x14ac:dyDescent="0.3">
      <c r="A152" s="27">
        <v>45845</v>
      </c>
      <c r="B152" s="26" t="s">
        <v>134</v>
      </c>
      <c r="C152" s="19">
        <v>22000</v>
      </c>
      <c r="D152" s="19" t="s">
        <v>164</v>
      </c>
      <c r="E152" s="21"/>
      <c r="F152" s="23" t="s">
        <v>155</v>
      </c>
      <c r="G152" s="21">
        <v>0</v>
      </c>
    </row>
    <row r="153" spans="1:7" ht="9.75" hidden="1" customHeight="1" x14ac:dyDescent="0.3">
      <c r="A153" s="27">
        <v>45846</v>
      </c>
      <c r="B153" s="26" t="s">
        <v>131</v>
      </c>
      <c r="C153" s="19">
        <v>2500</v>
      </c>
      <c r="D153" s="19" t="s">
        <v>67</v>
      </c>
      <c r="E153" s="21"/>
      <c r="F153" s="23" t="s">
        <v>166</v>
      </c>
      <c r="G153" s="21">
        <v>0</v>
      </c>
    </row>
    <row r="154" spans="1:7" ht="11.25" hidden="1" customHeight="1" x14ac:dyDescent="0.3">
      <c r="A154" s="27">
        <v>45846</v>
      </c>
      <c r="B154" s="26" t="s">
        <v>46</v>
      </c>
      <c r="C154" s="19">
        <v>300</v>
      </c>
      <c r="D154" s="19" t="s">
        <v>44</v>
      </c>
      <c r="E154" s="21"/>
      <c r="F154" s="22" t="s">
        <v>178</v>
      </c>
      <c r="G154" s="21">
        <v>0</v>
      </c>
    </row>
    <row r="155" spans="1:7" ht="9" hidden="1" customHeight="1" x14ac:dyDescent="0.3">
      <c r="A155" s="27">
        <v>45846</v>
      </c>
      <c r="B155" s="26" t="s">
        <v>45</v>
      </c>
      <c r="C155" s="19">
        <v>700</v>
      </c>
      <c r="D155" s="19" t="s">
        <v>44</v>
      </c>
      <c r="E155" s="21"/>
      <c r="F155" s="22" t="s">
        <v>178</v>
      </c>
      <c r="G155" s="21">
        <v>0</v>
      </c>
    </row>
    <row r="156" spans="1:7" ht="11.25" hidden="1" customHeight="1" x14ac:dyDescent="0.3">
      <c r="A156" s="27">
        <v>45846</v>
      </c>
      <c r="B156" s="26" t="s">
        <v>126</v>
      </c>
      <c r="C156" s="19">
        <v>3000</v>
      </c>
      <c r="D156" s="19" t="s">
        <v>150</v>
      </c>
      <c r="E156" s="21"/>
      <c r="F156" s="23" t="s">
        <v>177</v>
      </c>
      <c r="G156" s="21">
        <v>0</v>
      </c>
    </row>
    <row r="157" spans="1:7" ht="9" hidden="1" customHeight="1" x14ac:dyDescent="0.3">
      <c r="A157" s="27">
        <v>45848</v>
      </c>
      <c r="B157" s="26" t="s">
        <v>135</v>
      </c>
      <c r="C157" s="19">
        <v>1500</v>
      </c>
      <c r="D157" s="26" t="s">
        <v>136</v>
      </c>
      <c r="E157" s="21"/>
      <c r="F157" s="23" t="s">
        <v>304</v>
      </c>
      <c r="G157" s="21">
        <v>0</v>
      </c>
    </row>
    <row r="158" spans="1:7" ht="9" hidden="1" customHeight="1" x14ac:dyDescent="0.3">
      <c r="A158" s="27">
        <v>45848</v>
      </c>
      <c r="B158" s="26" t="s">
        <v>128</v>
      </c>
      <c r="C158" s="19">
        <v>10000</v>
      </c>
      <c r="D158" s="19" t="s">
        <v>133</v>
      </c>
      <c r="E158" s="21"/>
      <c r="F158" s="23" t="s">
        <v>167</v>
      </c>
      <c r="G158" s="21">
        <v>0</v>
      </c>
    </row>
    <row r="159" spans="1:7" ht="9" hidden="1" customHeight="1" x14ac:dyDescent="0.3">
      <c r="A159" s="27">
        <v>45849</v>
      </c>
      <c r="B159" s="26" t="s">
        <v>45</v>
      </c>
      <c r="C159" s="19">
        <v>500</v>
      </c>
      <c r="D159" s="19" t="s">
        <v>44</v>
      </c>
      <c r="E159" s="21"/>
      <c r="F159" s="22" t="s">
        <v>178</v>
      </c>
      <c r="G159" s="21">
        <v>0</v>
      </c>
    </row>
    <row r="160" spans="1:7" ht="9.75" hidden="1" customHeight="1" x14ac:dyDescent="0.3">
      <c r="A160" s="27">
        <v>45852</v>
      </c>
      <c r="B160" s="26" t="s">
        <v>43</v>
      </c>
      <c r="C160" s="19">
        <v>500</v>
      </c>
      <c r="D160" s="19" t="s">
        <v>30</v>
      </c>
      <c r="E160" s="21"/>
      <c r="F160" s="23" t="s">
        <v>388</v>
      </c>
      <c r="G160" s="21">
        <v>0</v>
      </c>
    </row>
    <row r="161" spans="1:7" ht="9" hidden="1" customHeight="1" x14ac:dyDescent="0.3">
      <c r="A161" s="27">
        <v>45852</v>
      </c>
      <c r="B161" s="26" t="s">
        <v>45</v>
      </c>
      <c r="C161" s="19">
        <v>500</v>
      </c>
      <c r="D161" s="19" t="s">
        <v>44</v>
      </c>
      <c r="E161" s="21"/>
      <c r="F161" s="22" t="s">
        <v>178</v>
      </c>
      <c r="G161" s="21">
        <v>0</v>
      </c>
    </row>
    <row r="162" spans="1:7" ht="9" hidden="1" customHeight="1" x14ac:dyDescent="0.3">
      <c r="A162" s="27">
        <v>45852</v>
      </c>
      <c r="B162" s="26" t="s">
        <v>61</v>
      </c>
      <c r="C162" s="19">
        <v>5000</v>
      </c>
      <c r="D162" s="19" t="s">
        <v>157</v>
      </c>
      <c r="E162" s="21"/>
      <c r="F162" s="23" t="s">
        <v>168</v>
      </c>
      <c r="G162" s="21">
        <v>0</v>
      </c>
    </row>
    <row r="163" spans="1:7" ht="9.75" hidden="1" customHeight="1" x14ac:dyDescent="0.3">
      <c r="A163" s="27">
        <v>45852</v>
      </c>
      <c r="B163" s="26" t="s">
        <v>139</v>
      </c>
      <c r="C163" s="19">
        <v>7500</v>
      </c>
      <c r="D163" s="19" t="s">
        <v>164</v>
      </c>
      <c r="E163" s="21"/>
      <c r="F163" s="23" t="s">
        <v>162</v>
      </c>
      <c r="G163" s="21">
        <v>0</v>
      </c>
    </row>
    <row r="164" spans="1:7" ht="11.25" hidden="1" customHeight="1" x14ac:dyDescent="0.3">
      <c r="A164" s="27">
        <v>45852</v>
      </c>
      <c r="B164" s="26" t="s">
        <v>140</v>
      </c>
      <c r="C164" s="19">
        <v>9000</v>
      </c>
      <c r="D164" s="26" t="s">
        <v>157</v>
      </c>
      <c r="E164" s="21"/>
      <c r="F164" s="23" t="s">
        <v>168</v>
      </c>
      <c r="G164" s="21">
        <v>0</v>
      </c>
    </row>
    <row r="165" spans="1:7" ht="10.5" hidden="1" customHeight="1" x14ac:dyDescent="0.3">
      <c r="A165" s="27">
        <v>45852</v>
      </c>
      <c r="B165" s="26" t="s">
        <v>137</v>
      </c>
      <c r="C165" s="19">
        <v>200</v>
      </c>
      <c r="D165" s="26" t="s">
        <v>136</v>
      </c>
      <c r="E165" s="21"/>
      <c r="F165" s="23" t="s">
        <v>304</v>
      </c>
      <c r="G165" s="21">
        <v>0</v>
      </c>
    </row>
    <row r="166" spans="1:7" ht="9.75" hidden="1" customHeight="1" x14ac:dyDescent="0.3">
      <c r="A166" s="27">
        <v>45852</v>
      </c>
      <c r="B166" s="26" t="s">
        <v>131</v>
      </c>
      <c r="C166" s="19">
        <v>2500</v>
      </c>
      <c r="D166" s="26" t="s">
        <v>67</v>
      </c>
      <c r="E166" s="21"/>
      <c r="F166" s="23" t="s">
        <v>166</v>
      </c>
      <c r="G166" s="21">
        <v>0</v>
      </c>
    </row>
    <row r="167" spans="1:7" ht="10.5" hidden="1" customHeight="1" x14ac:dyDescent="0.3">
      <c r="A167" s="27">
        <v>45852</v>
      </c>
      <c r="B167" s="26" t="s">
        <v>45</v>
      </c>
      <c r="C167" s="19">
        <v>500</v>
      </c>
      <c r="D167" s="26" t="s">
        <v>44</v>
      </c>
      <c r="E167" s="21"/>
      <c r="F167" s="22" t="s">
        <v>178</v>
      </c>
      <c r="G167" s="21">
        <v>0</v>
      </c>
    </row>
    <row r="168" spans="1:7" ht="9.75" hidden="1" customHeight="1" x14ac:dyDescent="0.3">
      <c r="A168" s="27">
        <v>45853</v>
      </c>
      <c r="B168" s="26" t="s">
        <v>138</v>
      </c>
      <c r="C168" s="19">
        <v>3700</v>
      </c>
      <c r="D168" s="26" t="s">
        <v>136</v>
      </c>
      <c r="E168" s="21"/>
      <c r="F168" s="23" t="s">
        <v>304</v>
      </c>
      <c r="G168" s="21">
        <v>0</v>
      </c>
    </row>
    <row r="169" spans="1:7" ht="9.75" hidden="1" customHeight="1" x14ac:dyDescent="0.3">
      <c r="A169" s="27">
        <v>45853</v>
      </c>
      <c r="B169" s="26" t="s">
        <v>45</v>
      </c>
      <c r="C169" s="19">
        <v>200</v>
      </c>
      <c r="D169" s="26" t="s">
        <v>44</v>
      </c>
      <c r="E169" s="21">
        <f>SUM(C148:C169)</f>
        <v>120600</v>
      </c>
      <c r="F169" s="22" t="s">
        <v>178</v>
      </c>
      <c r="G169" s="21">
        <v>0</v>
      </c>
    </row>
    <row r="170" spans="1:7" ht="8.25" hidden="1" customHeight="1" x14ac:dyDescent="0.3">
      <c r="A170" s="27">
        <v>45854</v>
      </c>
      <c r="B170" s="26" t="s">
        <v>45</v>
      </c>
      <c r="C170" s="19">
        <v>500</v>
      </c>
      <c r="D170" s="26" t="s">
        <v>44</v>
      </c>
      <c r="E170" s="21"/>
      <c r="F170" s="22" t="s">
        <v>178</v>
      </c>
      <c r="G170" s="21">
        <v>0</v>
      </c>
    </row>
    <row r="171" spans="1:7" ht="9" hidden="1" customHeight="1" x14ac:dyDescent="0.3">
      <c r="A171" s="27">
        <v>45854</v>
      </c>
      <c r="B171" s="26" t="s">
        <v>61</v>
      </c>
      <c r="C171" s="19">
        <v>12000</v>
      </c>
      <c r="D171" s="26" t="s">
        <v>151</v>
      </c>
      <c r="E171" s="21">
        <v>12500</v>
      </c>
      <c r="F171" s="23" t="s">
        <v>162</v>
      </c>
      <c r="G171" s="21">
        <v>0</v>
      </c>
    </row>
    <row r="172" spans="1:7" ht="9" hidden="1" customHeight="1" x14ac:dyDescent="0.3">
      <c r="A172" s="27">
        <v>45855</v>
      </c>
      <c r="B172" s="26" t="s">
        <v>170</v>
      </c>
      <c r="C172" s="19">
        <v>1300</v>
      </c>
      <c r="D172" s="26" t="s">
        <v>95</v>
      </c>
      <c r="E172" s="21"/>
      <c r="F172" s="22" t="s">
        <v>178</v>
      </c>
      <c r="G172" s="21">
        <v>0</v>
      </c>
    </row>
    <row r="173" spans="1:7" ht="9" hidden="1" customHeight="1" x14ac:dyDescent="0.3">
      <c r="A173" s="27">
        <v>45855</v>
      </c>
      <c r="B173" s="26" t="s">
        <v>171</v>
      </c>
      <c r="C173" s="19">
        <v>200</v>
      </c>
      <c r="D173" s="26" t="s">
        <v>136</v>
      </c>
      <c r="E173" s="21"/>
      <c r="F173" s="23" t="s">
        <v>304</v>
      </c>
      <c r="G173" s="21">
        <v>0</v>
      </c>
    </row>
    <row r="174" spans="1:7" ht="7.5" hidden="1" customHeight="1" x14ac:dyDescent="0.3">
      <c r="A174" s="27">
        <v>45855</v>
      </c>
      <c r="B174" s="26" t="s">
        <v>172</v>
      </c>
      <c r="C174" s="19">
        <v>3000</v>
      </c>
      <c r="D174" s="26" t="s">
        <v>176</v>
      </c>
      <c r="E174" s="21"/>
      <c r="F174" s="23" t="s">
        <v>297</v>
      </c>
      <c r="G174" s="21">
        <v>0</v>
      </c>
    </row>
    <row r="175" spans="1:7" ht="8.25" hidden="1" customHeight="1" x14ac:dyDescent="0.3">
      <c r="A175" s="27">
        <v>45855</v>
      </c>
      <c r="B175" s="26" t="s">
        <v>173</v>
      </c>
      <c r="C175" s="19">
        <v>2500</v>
      </c>
      <c r="D175" s="26" t="s">
        <v>187</v>
      </c>
      <c r="E175" s="21"/>
      <c r="F175" s="23" t="s">
        <v>188</v>
      </c>
      <c r="G175" s="21">
        <v>0</v>
      </c>
    </row>
    <row r="176" spans="1:7" ht="9.75" hidden="1" customHeight="1" x14ac:dyDescent="0.3">
      <c r="A176" s="27">
        <v>45856</v>
      </c>
      <c r="B176" s="26" t="s">
        <v>173</v>
      </c>
      <c r="C176" s="19">
        <v>2500</v>
      </c>
      <c r="D176" s="26" t="s">
        <v>187</v>
      </c>
      <c r="E176" s="21"/>
      <c r="F176" s="23" t="s">
        <v>188</v>
      </c>
      <c r="G176" s="21">
        <v>0</v>
      </c>
    </row>
    <row r="177" spans="1:7" ht="9" hidden="1" customHeight="1" x14ac:dyDescent="0.3">
      <c r="A177" s="27">
        <v>45856</v>
      </c>
      <c r="B177" s="26" t="s">
        <v>171</v>
      </c>
      <c r="C177" s="19">
        <v>400</v>
      </c>
      <c r="D177" s="26" t="s">
        <v>136</v>
      </c>
      <c r="E177" s="21"/>
      <c r="F177" s="23" t="s">
        <v>304</v>
      </c>
      <c r="G177" s="21">
        <v>0</v>
      </c>
    </row>
    <row r="178" spans="1:7" ht="10.5" hidden="1" customHeight="1" x14ac:dyDescent="0.3">
      <c r="A178" s="27">
        <v>45856</v>
      </c>
      <c r="B178" s="26" t="s">
        <v>45</v>
      </c>
      <c r="C178" s="19">
        <v>200</v>
      </c>
      <c r="D178" s="26" t="s">
        <v>44</v>
      </c>
      <c r="E178" s="21"/>
      <c r="F178" s="22" t="s">
        <v>178</v>
      </c>
      <c r="G178" s="21">
        <v>0</v>
      </c>
    </row>
    <row r="179" spans="1:7" ht="9" hidden="1" customHeight="1" x14ac:dyDescent="0.3">
      <c r="A179" s="27">
        <v>45856</v>
      </c>
      <c r="B179" s="28" t="s">
        <v>174</v>
      </c>
      <c r="C179" s="21">
        <v>5000</v>
      </c>
      <c r="D179" s="21" t="s">
        <v>101</v>
      </c>
      <c r="E179" s="21"/>
      <c r="F179" s="23" t="s">
        <v>287</v>
      </c>
      <c r="G179" s="21">
        <v>0</v>
      </c>
    </row>
    <row r="180" spans="1:7" ht="10.5" hidden="1" customHeight="1" x14ac:dyDescent="0.3">
      <c r="A180" s="27">
        <v>45856</v>
      </c>
      <c r="B180" s="26" t="s">
        <v>175</v>
      </c>
      <c r="C180" s="19">
        <v>1750</v>
      </c>
      <c r="D180" s="19" t="s">
        <v>101</v>
      </c>
      <c r="E180" s="21"/>
      <c r="F180" s="23" t="s">
        <v>287</v>
      </c>
      <c r="G180" s="21">
        <v>0</v>
      </c>
    </row>
    <row r="181" spans="1:7" ht="10.5" hidden="1" customHeight="1" x14ac:dyDescent="0.3">
      <c r="A181" s="27">
        <v>45856</v>
      </c>
      <c r="B181" s="26" t="s">
        <v>126</v>
      </c>
      <c r="C181" s="19">
        <v>1000</v>
      </c>
      <c r="D181" s="19" t="s">
        <v>150</v>
      </c>
      <c r="E181" s="21"/>
      <c r="F181" s="23" t="s">
        <v>177</v>
      </c>
      <c r="G181" s="21">
        <v>0</v>
      </c>
    </row>
    <row r="182" spans="1:7" ht="9.75" hidden="1" customHeight="1" x14ac:dyDescent="0.3">
      <c r="A182" s="27">
        <v>45856</v>
      </c>
      <c r="B182" s="26" t="s">
        <v>45</v>
      </c>
      <c r="C182" s="19">
        <v>800</v>
      </c>
      <c r="D182" s="19" t="s">
        <v>44</v>
      </c>
      <c r="E182" s="21"/>
      <c r="F182" s="22" t="s">
        <v>178</v>
      </c>
      <c r="G182" s="21">
        <v>0</v>
      </c>
    </row>
    <row r="183" spans="1:7" ht="9.75" hidden="1" customHeight="1" x14ac:dyDescent="0.3">
      <c r="A183" s="31">
        <v>45859</v>
      </c>
      <c r="B183" s="26" t="s">
        <v>12</v>
      </c>
      <c r="C183" s="19">
        <v>1500</v>
      </c>
      <c r="D183" s="19" t="s">
        <v>195</v>
      </c>
      <c r="E183" s="21"/>
      <c r="F183" s="23" t="s">
        <v>235</v>
      </c>
      <c r="G183" s="21">
        <v>0</v>
      </c>
    </row>
    <row r="184" spans="1:7" ht="12.75" hidden="1" customHeight="1" x14ac:dyDescent="0.3">
      <c r="A184" s="27">
        <v>45859</v>
      </c>
      <c r="B184" s="26" t="s">
        <v>180</v>
      </c>
      <c r="C184" s="19">
        <v>500</v>
      </c>
      <c r="D184" s="19" t="s">
        <v>150</v>
      </c>
      <c r="E184" s="21"/>
      <c r="F184" s="23" t="s">
        <v>303</v>
      </c>
      <c r="G184" s="29">
        <v>0</v>
      </c>
    </row>
    <row r="185" spans="1:7" ht="9" hidden="1" customHeight="1" x14ac:dyDescent="0.3">
      <c r="A185" s="27">
        <v>45859</v>
      </c>
      <c r="B185" s="26" t="s">
        <v>56</v>
      </c>
      <c r="C185" s="19">
        <v>700</v>
      </c>
      <c r="D185" s="19" t="s">
        <v>44</v>
      </c>
      <c r="E185" s="21"/>
      <c r="F185" s="23" t="s">
        <v>251</v>
      </c>
      <c r="G185" s="29">
        <v>0</v>
      </c>
    </row>
    <row r="186" spans="1:7" ht="9.75" hidden="1" customHeight="1" x14ac:dyDescent="0.3">
      <c r="A186" s="27">
        <v>45859</v>
      </c>
      <c r="B186" s="26" t="s">
        <v>181</v>
      </c>
      <c r="C186" s="19">
        <v>1500</v>
      </c>
      <c r="D186" s="19" t="s">
        <v>30</v>
      </c>
      <c r="E186" s="21"/>
      <c r="F186" s="23" t="s">
        <v>388</v>
      </c>
      <c r="G186" s="29">
        <v>0</v>
      </c>
    </row>
    <row r="187" spans="1:7" ht="9.75" hidden="1" customHeight="1" x14ac:dyDescent="0.3">
      <c r="A187" s="27">
        <v>45859</v>
      </c>
      <c r="B187" s="26" t="s">
        <v>182</v>
      </c>
      <c r="C187" s="19">
        <v>3500</v>
      </c>
      <c r="D187" s="19" t="s">
        <v>150</v>
      </c>
      <c r="E187" s="21"/>
      <c r="F187" s="23" t="s">
        <v>303</v>
      </c>
      <c r="G187" s="29">
        <v>0</v>
      </c>
    </row>
    <row r="188" spans="1:7" ht="9.75" customHeight="1" x14ac:dyDescent="0.3">
      <c r="A188" s="27">
        <v>45859</v>
      </c>
      <c r="B188" s="19" t="s">
        <v>183</v>
      </c>
      <c r="C188" s="19">
        <v>12000</v>
      </c>
      <c r="D188" s="19" t="s">
        <v>149</v>
      </c>
      <c r="E188" s="21"/>
      <c r="F188" s="23" t="s">
        <v>191</v>
      </c>
      <c r="G188" s="29">
        <v>0</v>
      </c>
    </row>
    <row r="189" spans="1:7" ht="9.75" hidden="1" customHeight="1" x14ac:dyDescent="0.3">
      <c r="A189" s="27">
        <v>45860</v>
      </c>
      <c r="B189" s="26" t="s">
        <v>184</v>
      </c>
      <c r="C189" s="19">
        <v>1000</v>
      </c>
      <c r="D189" s="19" t="s">
        <v>164</v>
      </c>
      <c r="E189" s="21"/>
      <c r="F189" s="23" t="s">
        <v>266</v>
      </c>
      <c r="G189" s="29">
        <v>0</v>
      </c>
    </row>
    <row r="190" spans="1:7" ht="9.75" hidden="1" customHeight="1" x14ac:dyDescent="0.3">
      <c r="A190" s="27">
        <v>45860</v>
      </c>
      <c r="B190" s="26" t="s">
        <v>45</v>
      </c>
      <c r="C190" s="19">
        <v>1200</v>
      </c>
      <c r="D190" s="19" t="s">
        <v>44</v>
      </c>
      <c r="E190" s="21"/>
      <c r="F190" s="23" t="s">
        <v>251</v>
      </c>
      <c r="G190" s="29">
        <v>0</v>
      </c>
    </row>
    <row r="191" spans="1:7" ht="10.5" hidden="1" customHeight="1" x14ac:dyDescent="0.3">
      <c r="A191" s="27">
        <v>45861</v>
      </c>
      <c r="B191" s="26" t="s">
        <v>185</v>
      </c>
      <c r="C191" s="19">
        <v>1000</v>
      </c>
      <c r="D191" s="26" t="s">
        <v>136</v>
      </c>
      <c r="E191" s="21"/>
      <c r="F191" s="23" t="s">
        <v>304</v>
      </c>
      <c r="G191" s="29">
        <v>0</v>
      </c>
    </row>
    <row r="192" spans="1:7" ht="10.5" hidden="1" customHeight="1" x14ac:dyDescent="0.3">
      <c r="A192" s="27">
        <v>45861</v>
      </c>
      <c r="B192" s="26" t="s">
        <v>46</v>
      </c>
      <c r="C192" s="19">
        <v>600</v>
      </c>
      <c r="D192" s="19" t="s">
        <v>30</v>
      </c>
      <c r="E192" s="21"/>
      <c r="F192" s="23" t="s">
        <v>388</v>
      </c>
      <c r="G192" s="29">
        <v>0</v>
      </c>
    </row>
    <row r="193" spans="1:8" ht="10.5" hidden="1" customHeight="1" x14ac:dyDescent="0.3">
      <c r="A193" s="27">
        <v>45863</v>
      </c>
      <c r="B193" s="26" t="s">
        <v>37</v>
      </c>
      <c r="C193" s="19">
        <v>1000</v>
      </c>
      <c r="D193" s="19" t="s">
        <v>127</v>
      </c>
      <c r="E193" s="21"/>
      <c r="F193" s="23" t="s">
        <v>502</v>
      </c>
      <c r="G193" s="29">
        <v>0</v>
      </c>
    </row>
    <row r="194" spans="1:8" ht="10.5" hidden="1" customHeight="1" x14ac:dyDescent="0.3">
      <c r="A194" s="31">
        <v>45863</v>
      </c>
      <c r="B194" s="34" t="s">
        <v>394</v>
      </c>
      <c r="C194" s="35">
        <v>3500</v>
      </c>
      <c r="D194" s="35" t="s">
        <v>295</v>
      </c>
      <c r="E194" s="36"/>
      <c r="F194" s="37" t="s">
        <v>296</v>
      </c>
      <c r="G194" s="38">
        <v>0</v>
      </c>
    </row>
    <row r="195" spans="1:8" s="55" customFormat="1" ht="10.5" hidden="1" customHeight="1" x14ac:dyDescent="0.3">
      <c r="A195" s="31">
        <v>45864</v>
      </c>
      <c r="B195" s="34" t="s">
        <v>53</v>
      </c>
      <c r="C195" s="35">
        <v>500</v>
      </c>
      <c r="D195" s="35" t="s">
        <v>54</v>
      </c>
      <c r="E195" s="36"/>
      <c r="F195" s="70">
        <v>45866</v>
      </c>
      <c r="G195" s="38">
        <v>0</v>
      </c>
    </row>
    <row r="196" spans="1:8" ht="10.5" hidden="1" customHeight="1" x14ac:dyDescent="0.3">
      <c r="A196" s="27">
        <v>45864</v>
      </c>
      <c r="B196" s="26" t="s">
        <v>126</v>
      </c>
      <c r="C196" s="19">
        <v>500</v>
      </c>
      <c r="D196" s="19" t="s">
        <v>150</v>
      </c>
      <c r="E196" s="21"/>
      <c r="F196" s="23" t="s">
        <v>303</v>
      </c>
      <c r="G196" s="29">
        <v>0</v>
      </c>
    </row>
    <row r="197" spans="1:8" ht="10.5" hidden="1" customHeight="1" x14ac:dyDescent="0.3">
      <c r="A197" s="27">
        <v>45864</v>
      </c>
      <c r="B197" s="26" t="s">
        <v>186</v>
      </c>
      <c r="C197" s="19">
        <v>1000</v>
      </c>
      <c r="D197" s="19" t="s">
        <v>130</v>
      </c>
      <c r="E197" s="21"/>
      <c r="F197" s="23" t="s">
        <v>222</v>
      </c>
      <c r="G197" s="29">
        <v>0</v>
      </c>
    </row>
    <row r="198" spans="1:8" ht="10.5" hidden="1" customHeight="1" x14ac:dyDescent="0.3">
      <c r="A198" s="27">
        <v>45864</v>
      </c>
      <c r="B198" s="26" t="s">
        <v>45</v>
      </c>
      <c r="C198" s="19">
        <v>500</v>
      </c>
      <c r="D198" s="19" t="s">
        <v>44</v>
      </c>
      <c r="E198" s="21"/>
      <c r="F198" s="23" t="s">
        <v>251</v>
      </c>
      <c r="G198" s="29">
        <v>0</v>
      </c>
    </row>
    <row r="199" spans="1:8" ht="10.5" hidden="1" customHeight="1" x14ac:dyDescent="0.3">
      <c r="A199" s="27">
        <v>45864</v>
      </c>
      <c r="B199" s="26" t="s">
        <v>173</v>
      </c>
      <c r="C199" s="19">
        <v>3000</v>
      </c>
      <c r="D199" s="19" t="s">
        <v>187</v>
      </c>
      <c r="E199" s="21"/>
      <c r="F199" s="23" t="s">
        <v>188</v>
      </c>
      <c r="G199" s="29">
        <v>0</v>
      </c>
    </row>
    <row r="200" spans="1:8" ht="10.5" hidden="1" customHeight="1" x14ac:dyDescent="0.3">
      <c r="A200" s="27">
        <v>45864</v>
      </c>
      <c r="B200" s="26" t="s">
        <v>53</v>
      </c>
      <c r="C200" s="19">
        <v>200</v>
      </c>
      <c r="D200" s="26" t="s">
        <v>136</v>
      </c>
      <c r="E200" s="21"/>
      <c r="F200" s="23" t="s">
        <v>304</v>
      </c>
      <c r="G200" s="29">
        <v>0</v>
      </c>
    </row>
    <row r="201" spans="1:8" ht="9.6" customHeight="1" x14ac:dyDescent="0.3">
      <c r="A201" s="27">
        <v>45864</v>
      </c>
      <c r="B201" s="19" t="s">
        <v>190</v>
      </c>
      <c r="C201" s="19">
        <v>10000</v>
      </c>
      <c r="D201" s="19" t="s">
        <v>149</v>
      </c>
      <c r="E201" s="21"/>
      <c r="F201" s="23" t="s">
        <v>191</v>
      </c>
      <c r="G201" s="29">
        <v>0</v>
      </c>
      <c r="H201" s="33"/>
    </row>
    <row r="202" spans="1:8" ht="10.5" hidden="1" customHeight="1" x14ac:dyDescent="0.3">
      <c r="A202" s="31">
        <v>45866</v>
      </c>
      <c r="B202" s="26" t="s">
        <v>196</v>
      </c>
      <c r="C202" s="19">
        <v>1000</v>
      </c>
      <c r="D202" s="19" t="s">
        <v>195</v>
      </c>
      <c r="E202" s="21"/>
      <c r="F202" s="23" t="s">
        <v>235</v>
      </c>
      <c r="G202" s="21">
        <v>0</v>
      </c>
    </row>
    <row r="203" spans="1:8" ht="10.5" hidden="1" customHeight="1" x14ac:dyDescent="0.3">
      <c r="A203" s="27">
        <v>45866</v>
      </c>
      <c r="B203" s="26" t="s">
        <v>197</v>
      </c>
      <c r="C203" s="19">
        <v>500</v>
      </c>
      <c r="D203" s="19" t="s">
        <v>52</v>
      </c>
      <c r="E203" s="21"/>
      <c r="F203" s="23" t="s">
        <v>480</v>
      </c>
      <c r="G203" s="29"/>
    </row>
    <row r="204" spans="1:8" ht="10.5" hidden="1" customHeight="1" x14ac:dyDescent="0.3">
      <c r="A204" s="27">
        <v>45866</v>
      </c>
      <c r="B204" s="26" t="s">
        <v>198</v>
      </c>
      <c r="C204" s="19">
        <v>1000</v>
      </c>
      <c r="D204" s="19" t="s">
        <v>142</v>
      </c>
      <c r="E204" s="21"/>
      <c r="F204" s="23" t="s">
        <v>141</v>
      </c>
      <c r="G204" s="29">
        <v>0</v>
      </c>
    </row>
    <row r="205" spans="1:8" ht="10.5" hidden="1" customHeight="1" x14ac:dyDescent="0.3">
      <c r="A205" s="27">
        <v>45866</v>
      </c>
      <c r="B205" s="26" t="s">
        <v>199</v>
      </c>
      <c r="C205" s="19">
        <v>2000</v>
      </c>
      <c r="D205" s="19" t="s">
        <v>203</v>
      </c>
      <c r="E205" s="21"/>
      <c r="F205" s="23" t="s">
        <v>304</v>
      </c>
      <c r="G205" s="29">
        <v>0</v>
      </c>
    </row>
    <row r="206" spans="1:8" ht="10.5" hidden="1" customHeight="1" x14ac:dyDescent="0.3">
      <c r="A206" s="27">
        <v>45866</v>
      </c>
      <c r="B206" s="26" t="s">
        <v>200</v>
      </c>
      <c r="C206" s="19">
        <v>2000</v>
      </c>
      <c r="D206" s="19" t="s">
        <v>203</v>
      </c>
      <c r="E206" s="21"/>
      <c r="F206" s="23" t="s">
        <v>304</v>
      </c>
      <c r="G206" s="29">
        <v>0</v>
      </c>
    </row>
    <row r="207" spans="1:8" ht="10.5" hidden="1" customHeight="1" x14ac:dyDescent="0.3">
      <c r="A207" s="27">
        <v>45866</v>
      </c>
      <c r="B207" s="26" t="s">
        <v>201</v>
      </c>
      <c r="C207" s="19">
        <v>2500</v>
      </c>
      <c r="D207" s="19" t="s">
        <v>205</v>
      </c>
      <c r="E207" s="21"/>
      <c r="F207" s="23" t="s">
        <v>214</v>
      </c>
      <c r="G207" s="29">
        <v>0</v>
      </c>
    </row>
    <row r="208" spans="1:8" ht="10.5" hidden="1" customHeight="1" x14ac:dyDescent="0.3">
      <c r="A208" s="27">
        <v>45867</v>
      </c>
      <c r="B208" s="26" t="s">
        <v>45</v>
      </c>
      <c r="C208" s="19">
        <v>1500</v>
      </c>
      <c r="D208" s="19" t="s">
        <v>44</v>
      </c>
      <c r="E208" s="21"/>
      <c r="F208" s="23" t="s">
        <v>251</v>
      </c>
      <c r="G208" s="29">
        <v>0</v>
      </c>
    </row>
    <row r="209" spans="1:7" ht="10.5" hidden="1" customHeight="1" x14ac:dyDescent="0.3">
      <c r="A209" s="27">
        <v>45867</v>
      </c>
      <c r="B209" s="26" t="s">
        <v>202</v>
      </c>
      <c r="C209" s="19">
        <v>2000</v>
      </c>
      <c r="D209" s="19" t="s">
        <v>203</v>
      </c>
      <c r="E209" s="21"/>
      <c r="F209" s="23" t="s">
        <v>304</v>
      </c>
      <c r="G209" s="29">
        <v>0</v>
      </c>
    </row>
    <row r="210" spans="1:7" ht="10.5" hidden="1" customHeight="1" x14ac:dyDescent="0.3">
      <c r="A210" s="27">
        <v>45867</v>
      </c>
      <c r="B210" s="26" t="s">
        <v>50</v>
      </c>
      <c r="C210" s="19">
        <v>2000</v>
      </c>
      <c r="D210" s="19" t="s">
        <v>142</v>
      </c>
      <c r="E210" s="21"/>
      <c r="F210" s="23" t="s">
        <v>328</v>
      </c>
      <c r="G210" s="29">
        <v>0</v>
      </c>
    </row>
    <row r="211" spans="1:7" ht="10.5" hidden="1" customHeight="1" x14ac:dyDescent="0.3">
      <c r="A211" s="27">
        <v>45867</v>
      </c>
      <c r="B211" s="26" t="s">
        <v>45</v>
      </c>
      <c r="C211" s="19">
        <v>500</v>
      </c>
      <c r="D211" s="19" t="s">
        <v>44</v>
      </c>
      <c r="E211" s="21"/>
      <c r="F211" s="23" t="s">
        <v>251</v>
      </c>
      <c r="G211" s="29">
        <v>0</v>
      </c>
    </row>
    <row r="212" spans="1:7" ht="10.5" hidden="1" customHeight="1" x14ac:dyDescent="0.3">
      <c r="A212" s="27">
        <v>45868</v>
      </c>
      <c r="B212" s="26" t="s">
        <v>48</v>
      </c>
      <c r="C212" s="19">
        <v>1000</v>
      </c>
      <c r="D212" s="19" t="s">
        <v>44</v>
      </c>
      <c r="E212" s="21"/>
      <c r="F212" s="23" t="s">
        <v>251</v>
      </c>
      <c r="G212" s="29">
        <v>0</v>
      </c>
    </row>
    <row r="213" spans="1:7" ht="10.5" hidden="1" customHeight="1" x14ac:dyDescent="0.3">
      <c r="A213" s="31">
        <v>45868</v>
      </c>
      <c r="B213" s="26" t="s">
        <v>45</v>
      </c>
      <c r="C213" s="19">
        <v>2700</v>
      </c>
      <c r="D213" s="19" t="s">
        <v>44</v>
      </c>
      <c r="E213" s="21"/>
      <c r="F213" s="23" t="s">
        <v>251</v>
      </c>
      <c r="G213" s="29">
        <v>0</v>
      </c>
    </row>
    <row r="214" spans="1:7" ht="10.5" hidden="1" customHeight="1" x14ac:dyDescent="0.3">
      <c r="A214" s="27">
        <v>45869</v>
      </c>
      <c r="B214" s="26" t="s">
        <v>45</v>
      </c>
      <c r="C214" s="19">
        <v>600</v>
      </c>
      <c r="D214" s="19" t="s">
        <v>44</v>
      </c>
      <c r="E214" s="21"/>
      <c r="F214" s="23" t="s">
        <v>251</v>
      </c>
      <c r="G214" s="29">
        <v>0</v>
      </c>
    </row>
    <row r="215" spans="1:7" ht="10.5" hidden="1" customHeight="1" x14ac:dyDescent="0.3">
      <c r="A215" s="27">
        <v>45869</v>
      </c>
      <c r="B215" s="26" t="s">
        <v>71</v>
      </c>
      <c r="C215" s="19">
        <v>2500</v>
      </c>
      <c r="D215" s="19" t="s">
        <v>67</v>
      </c>
      <c r="E215" s="21"/>
      <c r="F215" s="23" t="s">
        <v>278</v>
      </c>
      <c r="G215" s="29">
        <v>0</v>
      </c>
    </row>
    <row r="216" spans="1:7" ht="10.5" hidden="1" customHeight="1" x14ac:dyDescent="0.3">
      <c r="A216" s="27">
        <v>45869</v>
      </c>
      <c r="B216" s="26" t="s">
        <v>208</v>
      </c>
      <c r="C216" s="19">
        <v>1000</v>
      </c>
      <c r="D216" s="19" t="s">
        <v>156</v>
      </c>
      <c r="E216" s="21"/>
      <c r="F216" s="23" t="s">
        <v>324</v>
      </c>
      <c r="G216" s="29">
        <v>0</v>
      </c>
    </row>
    <row r="217" spans="1:7" ht="10.5" hidden="1" customHeight="1" x14ac:dyDescent="0.3">
      <c r="A217" s="27">
        <v>45869</v>
      </c>
      <c r="B217" s="26" t="s">
        <v>184</v>
      </c>
      <c r="C217" s="19">
        <v>1000</v>
      </c>
      <c r="D217" s="19" t="s">
        <v>19</v>
      </c>
      <c r="E217" s="21"/>
      <c r="F217" s="23" t="s">
        <v>296</v>
      </c>
      <c r="G217" s="29">
        <v>0</v>
      </c>
    </row>
    <row r="218" spans="1:7" ht="10.5" hidden="1" customHeight="1" x14ac:dyDescent="0.3">
      <c r="A218" s="27">
        <v>45869</v>
      </c>
      <c r="B218" s="26" t="s">
        <v>49</v>
      </c>
      <c r="C218" s="19">
        <v>1000</v>
      </c>
      <c r="D218" s="19" t="s">
        <v>19</v>
      </c>
      <c r="E218" s="21"/>
      <c r="F218" s="23" t="s">
        <v>296</v>
      </c>
      <c r="G218" s="29">
        <v>0</v>
      </c>
    </row>
    <row r="219" spans="1:7" ht="10.5" hidden="1" customHeight="1" x14ac:dyDescent="0.3">
      <c r="A219" s="27">
        <v>45869</v>
      </c>
      <c r="B219" s="26" t="s">
        <v>209</v>
      </c>
      <c r="C219" s="19">
        <v>1000</v>
      </c>
      <c r="D219" s="19" t="s">
        <v>19</v>
      </c>
      <c r="E219" s="21"/>
      <c r="F219" s="23" t="s">
        <v>296</v>
      </c>
      <c r="G219" s="29">
        <v>0</v>
      </c>
    </row>
    <row r="220" spans="1:7" ht="10.5" hidden="1" customHeight="1" x14ac:dyDescent="0.3">
      <c r="A220" s="27">
        <v>45869</v>
      </c>
      <c r="B220" s="26" t="s">
        <v>210</v>
      </c>
      <c r="C220" s="19">
        <v>300</v>
      </c>
      <c r="D220" s="19" t="s">
        <v>19</v>
      </c>
      <c r="E220" s="21"/>
      <c r="F220" s="23" t="s">
        <v>296</v>
      </c>
      <c r="G220" s="29">
        <v>0</v>
      </c>
    </row>
    <row r="221" spans="1:7" ht="10.5" hidden="1" customHeight="1" x14ac:dyDescent="0.3">
      <c r="A221" s="27">
        <v>45869</v>
      </c>
      <c r="B221" s="26" t="s">
        <v>45</v>
      </c>
      <c r="C221" s="19">
        <v>900</v>
      </c>
      <c r="D221" s="19" t="s">
        <v>44</v>
      </c>
      <c r="E221" s="21"/>
      <c r="F221" s="23" t="s">
        <v>251</v>
      </c>
      <c r="G221" s="29">
        <v>0</v>
      </c>
    </row>
    <row r="222" spans="1:7" ht="10.5" hidden="1" customHeight="1" x14ac:dyDescent="0.3">
      <c r="A222" s="27">
        <v>45869</v>
      </c>
      <c r="B222" s="26" t="s">
        <v>211</v>
      </c>
      <c r="C222" s="19">
        <v>6500</v>
      </c>
      <c r="D222" s="19" t="s">
        <v>130</v>
      </c>
      <c r="E222" s="21"/>
      <c r="F222" s="23" t="s">
        <v>222</v>
      </c>
      <c r="G222" s="29">
        <v>0</v>
      </c>
    </row>
    <row r="223" spans="1:7" ht="10.5" hidden="1" customHeight="1" x14ac:dyDescent="0.3">
      <c r="A223" s="27">
        <v>45870</v>
      </c>
      <c r="B223" s="26" t="s">
        <v>212</v>
      </c>
      <c r="C223" s="19">
        <v>2000</v>
      </c>
      <c r="D223" s="19" t="s">
        <v>19</v>
      </c>
      <c r="E223" s="21"/>
      <c r="F223" s="23" t="s">
        <v>296</v>
      </c>
      <c r="G223" s="29">
        <v>0</v>
      </c>
    </row>
    <row r="224" spans="1:7" ht="10.5" hidden="1" customHeight="1" x14ac:dyDescent="0.3">
      <c r="A224" s="27">
        <v>45870</v>
      </c>
      <c r="B224" s="26" t="s">
        <v>213</v>
      </c>
      <c r="C224" s="19">
        <v>20000</v>
      </c>
      <c r="D224" s="19" t="s">
        <v>156</v>
      </c>
      <c r="E224" s="21"/>
      <c r="F224" s="23" t="s">
        <v>324</v>
      </c>
      <c r="G224" s="29">
        <v>0</v>
      </c>
    </row>
    <row r="225" spans="1:7" ht="10.5" hidden="1" customHeight="1" x14ac:dyDescent="0.3">
      <c r="A225" s="31">
        <v>45870</v>
      </c>
      <c r="B225" s="26" t="s">
        <v>45</v>
      </c>
      <c r="C225" s="35">
        <v>700</v>
      </c>
      <c r="D225" s="19" t="s">
        <v>95</v>
      </c>
      <c r="E225" s="21"/>
      <c r="F225" s="23" t="s">
        <v>251</v>
      </c>
      <c r="G225" s="29">
        <v>0</v>
      </c>
    </row>
    <row r="226" spans="1:7" ht="10.5" hidden="1" customHeight="1" x14ac:dyDescent="0.3">
      <c r="A226" s="27">
        <v>45873</v>
      </c>
      <c r="B226" s="26" t="s">
        <v>45</v>
      </c>
      <c r="C226" s="19">
        <v>700</v>
      </c>
      <c r="D226" s="19" t="s">
        <v>95</v>
      </c>
      <c r="E226" s="21"/>
      <c r="F226" s="23" t="s">
        <v>251</v>
      </c>
      <c r="G226" s="29">
        <v>0</v>
      </c>
    </row>
    <row r="227" spans="1:7" ht="9" hidden="1" customHeight="1" x14ac:dyDescent="0.3">
      <c r="A227" s="27">
        <v>45874</v>
      </c>
      <c r="B227" s="26" t="s">
        <v>45</v>
      </c>
      <c r="C227" s="19">
        <v>1500</v>
      </c>
      <c r="D227" s="19" t="s">
        <v>95</v>
      </c>
      <c r="E227" s="21"/>
      <c r="F227" s="23" t="s">
        <v>251</v>
      </c>
      <c r="G227" s="29">
        <v>0</v>
      </c>
    </row>
    <row r="228" spans="1:7" ht="9" hidden="1" customHeight="1" x14ac:dyDescent="0.3">
      <c r="A228" s="27">
        <v>45874</v>
      </c>
      <c r="B228" s="26" t="s">
        <v>184</v>
      </c>
      <c r="C228" s="19">
        <v>500</v>
      </c>
      <c r="D228" s="19" t="s">
        <v>19</v>
      </c>
      <c r="E228" s="21"/>
      <c r="F228" s="23" t="s">
        <v>296</v>
      </c>
      <c r="G228" s="29">
        <v>0</v>
      </c>
    </row>
    <row r="229" spans="1:7" ht="9" hidden="1" customHeight="1" x14ac:dyDescent="0.3">
      <c r="A229" s="27">
        <v>45876</v>
      </c>
      <c r="B229" s="26" t="s">
        <v>53</v>
      </c>
      <c r="C229" s="19">
        <v>1000</v>
      </c>
      <c r="D229" s="19" t="s">
        <v>136</v>
      </c>
      <c r="E229" s="21"/>
      <c r="F229" s="23" t="s">
        <v>304</v>
      </c>
      <c r="G229" s="29">
        <v>0</v>
      </c>
    </row>
    <row r="230" spans="1:7" ht="9" hidden="1" customHeight="1" x14ac:dyDescent="0.3">
      <c r="A230" s="27">
        <v>45876</v>
      </c>
      <c r="B230" s="26" t="s">
        <v>53</v>
      </c>
      <c r="C230" s="19">
        <v>500</v>
      </c>
      <c r="D230" s="19" t="s">
        <v>117</v>
      </c>
      <c r="E230" s="21"/>
      <c r="F230" s="23" t="s">
        <v>327</v>
      </c>
      <c r="G230" s="29">
        <v>0</v>
      </c>
    </row>
    <row r="231" spans="1:7" ht="9" hidden="1" customHeight="1" x14ac:dyDescent="0.3">
      <c r="A231" s="27">
        <v>45876</v>
      </c>
      <c r="B231" s="26" t="s">
        <v>46</v>
      </c>
      <c r="C231" s="19">
        <v>600</v>
      </c>
      <c r="D231" s="19" t="s">
        <v>44</v>
      </c>
      <c r="E231" s="21"/>
      <c r="F231" s="23" t="s">
        <v>251</v>
      </c>
      <c r="G231" s="29">
        <v>0</v>
      </c>
    </row>
    <row r="232" spans="1:7" ht="9" hidden="1" customHeight="1" x14ac:dyDescent="0.3">
      <c r="A232" s="27">
        <v>45876</v>
      </c>
      <c r="B232" s="26" t="s">
        <v>215</v>
      </c>
      <c r="C232" s="19">
        <v>1500</v>
      </c>
      <c r="D232" s="19" t="s">
        <v>254</v>
      </c>
      <c r="E232" s="21"/>
      <c r="F232" s="23" t="s">
        <v>255</v>
      </c>
      <c r="G232" s="29">
        <v>0</v>
      </c>
    </row>
    <row r="233" spans="1:7" ht="9" hidden="1" customHeight="1" x14ac:dyDescent="0.3">
      <c r="A233" s="27">
        <v>45876</v>
      </c>
      <c r="B233" s="26" t="s">
        <v>217</v>
      </c>
      <c r="C233" s="19">
        <v>6000</v>
      </c>
      <c r="D233" s="19" t="s">
        <v>133</v>
      </c>
      <c r="E233" s="21"/>
      <c r="F233" s="23" t="s">
        <v>248</v>
      </c>
      <c r="G233" s="29">
        <v>0</v>
      </c>
    </row>
    <row r="234" spans="1:7" ht="9" hidden="1" customHeight="1" x14ac:dyDescent="0.3">
      <c r="A234" s="27">
        <v>45877</v>
      </c>
      <c r="B234" s="26" t="s">
        <v>8</v>
      </c>
      <c r="C234" s="19">
        <v>1200</v>
      </c>
      <c r="D234" s="19" t="s">
        <v>19</v>
      </c>
      <c r="E234" s="21"/>
      <c r="F234" s="23" t="s">
        <v>296</v>
      </c>
      <c r="G234" s="29">
        <v>0</v>
      </c>
    </row>
    <row r="235" spans="1:7" ht="9" hidden="1" customHeight="1" x14ac:dyDescent="0.3">
      <c r="A235" s="27">
        <v>45877</v>
      </c>
      <c r="B235" s="26" t="s">
        <v>69</v>
      </c>
      <c r="C235" s="19">
        <v>18000</v>
      </c>
      <c r="D235" s="19" t="s">
        <v>101</v>
      </c>
      <c r="E235" s="21"/>
      <c r="F235" s="23" t="s">
        <v>287</v>
      </c>
      <c r="G235" s="29">
        <v>0</v>
      </c>
    </row>
    <row r="236" spans="1:7" ht="9" hidden="1" customHeight="1" x14ac:dyDescent="0.3">
      <c r="A236" s="27">
        <v>45877</v>
      </c>
      <c r="B236" s="26" t="s">
        <v>218</v>
      </c>
      <c r="C236" s="19">
        <v>2000</v>
      </c>
      <c r="D236" s="19" t="s">
        <v>101</v>
      </c>
      <c r="E236" s="21"/>
      <c r="F236" s="23" t="s">
        <v>287</v>
      </c>
      <c r="G236" s="29">
        <v>0</v>
      </c>
    </row>
    <row r="237" spans="1:7" ht="9" hidden="1" customHeight="1" x14ac:dyDescent="0.3">
      <c r="A237" s="27">
        <v>45877</v>
      </c>
      <c r="B237" s="26" t="s">
        <v>218</v>
      </c>
      <c r="C237" s="19">
        <v>2500</v>
      </c>
      <c r="D237" s="19" t="s">
        <v>101</v>
      </c>
      <c r="E237" s="21"/>
      <c r="F237" s="23" t="s">
        <v>287</v>
      </c>
      <c r="G237" s="29">
        <v>0</v>
      </c>
    </row>
    <row r="238" spans="1:7" ht="9" hidden="1" customHeight="1" x14ac:dyDescent="0.3">
      <c r="A238" s="27">
        <v>45877</v>
      </c>
      <c r="B238" s="26" t="s">
        <v>219</v>
      </c>
      <c r="C238" s="19">
        <v>300</v>
      </c>
      <c r="D238" s="19" t="s">
        <v>101</v>
      </c>
      <c r="E238" s="21"/>
      <c r="F238" s="23" t="s">
        <v>287</v>
      </c>
      <c r="G238" s="29">
        <v>0</v>
      </c>
    </row>
    <row r="239" spans="1:7" ht="9" hidden="1" customHeight="1" x14ac:dyDescent="0.3">
      <c r="A239" s="27">
        <v>45877</v>
      </c>
      <c r="B239" s="26" t="s">
        <v>220</v>
      </c>
      <c r="C239" s="19">
        <v>1000</v>
      </c>
      <c r="D239" s="19" t="s">
        <v>101</v>
      </c>
      <c r="E239" s="21"/>
      <c r="F239" s="23" t="s">
        <v>287</v>
      </c>
      <c r="G239" s="29">
        <v>0</v>
      </c>
    </row>
    <row r="240" spans="1:7" ht="9" hidden="1" customHeight="1" x14ac:dyDescent="0.3">
      <c r="A240" s="31">
        <v>45877</v>
      </c>
      <c r="B240" s="26" t="s">
        <v>126</v>
      </c>
      <c r="C240" s="19">
        <v>500</v>
      </c>
      <c r="D240" s="19" t="s">
        <v>150</v>
      </c>
      <c r="E240" s="21"/>
      <c r="F240" s="23" t="s">
        <v>303</v>
      </c>
      <c r="G240" s="29">
        <v>0</v>
      </c>
    </row>
    <row r="241" spans="1:7" ht="9" hidden="1" customHeight="1" x14ac:dyDescent="0.3">
      <c r="A241" s="31">
        <v>45877</v>
      </c>
      <c r="B241" s="26" t="s">
        <v>171</v>
      </c>
      <c r="C241" s="19">
        <v>2000</v>
      </c>
      <c r="D241" s="35" t="s">
        <v>136</v>
      </c>
      <c r="E241" s="21"/>
      <c r="F241" s="23" t="s">
        <v>304</v>
      </c>
      <c r="G241" s="29">
        <v>0</v>
      </c>
    </row>
    <row r="242" spans="1:7" ht="9" hidden="1" customHeight="1" x14ac:dyDescent="0.3">
      <c r="A242" s="31">
        <v>45880</v>
      </c>
      <c r="B242" s="26" t="s">
        <v>45</v>
      </c>
      <c r="C242" s="19">
        <v>1100</v>
      </c>
      <c r="D242" s="35" t="s">
        <v>44</v>
      </c>
      <c r="E242" s="21"/>
      <c r="F242" s="23" t="s">
        <v>251</v>
      </c>
      <c r="G242" s="29">
        <v>0</v>
      </c>
    </row>
    <row r="243" spans="1:7" ht="9" hidden="1" customHeight="1" x14ac:dyDescent="0.3">
      <c r="A243" s="31">
        <v>45880</v>
      </c>
      <c r="B243" s="26" t="s">
        <v>223</v>
      </c>
      <c r="C243" s="19">
        <v>3500</v>
      </c>
      <c r="D243" s="35" t="s">
        <v>216</v>
      </c>
      <c r="E243" s="21"/>
      <c r="F243" s="23" t="s">
        <v>255</v>
      </c>
      <c r="G243" s="29">
        <v>0</v>
      </c>
    </row>
    <row r="244" spans="1:7" ht="9" hidden="1" customHeight="1" x14ac:dyDescent="0.3">
      <c r="A244" s="31">
        <v>45880</v>
      </c>
      <c r="B244" s="26" t="s">
        <v>172</v>
      </c>
      <c r="C244" s="19">
        <v>3000</v>
      </c>
      <c r="D244" s="35" t="s">
        <v>176</v>
      </c>
      <c r="E244" s="21"/>
      <c r="F244" s="23" t="s">
        <v>297</v>
      </c>
      <c r="G244" s="29">
        <v>0</v>
      </c>
    </row>
    <row r="245" spans="1:7" ht="9" hidden="1" customHeight="1" x14ac:dyDescent="0.3">
      <c r="A245" s="31">
        <v>45880</v>
      </c>
      <c r="B245" s="26" t="s">
        <v>224</v>
      </c>
      <c r="C245" s="19">
        <v>500</v>
      </c>
      <c r="D245" s="35" t="s">
        <v>54</v>
      </c>
      <c r="E245" s="21"/>
      <c r="F245" s="23" t="s">
        <v>327</v>
      </c>
      <c r="G245" s="29">
        <v>0</v>
      </c>
    </row>
    <row r="246" spans="1:7" ht="9" hidden="1" customHeight="1" x14ac:dyDescent="0.3">
      <c r="A246" s="31">
        <v>45880</v>
      </c>
      <c r="B246" s="26" t="s">
        <v>225</v>
      </c>
      <c r="C246" s="19">
        <v>1000</v>
      </c>
      <c r="D246" s="35" t="s">
        <v>136</v>
      </c>
      <c r="E246" s="21"/>
      <c r="F246" s="23" t="s">
        <v>304</v>
      </c>
      <c r="G246" s="29">
        <v>0</v>
      </c>
    </row>
    <row r="247" spans="1:7" ht="9" hidden="1" customHeight="1" x14ac:dyDescent="0.3">
      <c r="A247" s="31">
        <v>45883</v>
      </c>
      <c r="B247" s="26" t="s">
        <v>394</v>
      </c>
      <c r="C247" s="19">
        <v>3500</v>
      </c>
      <c r="D247" s="35" t="s">
        <v>295</v>
      </c>
      <c r="E247" s="21"/>
      <c r="F247" s="37" t="s">
        <v>296</v>
      </c>
      <c r="G247" s="29">
        <v>0</v>
      </c>
    </row>
    <row r="248" spans="1:7" ht="9" hidden="1" customHeight="1" x14ac:dyDescent="0.3">
      <c r="A248" s="31">
        <v>45883</v>
      </c>
      <c r="B248" s="26" t="s">
        <v>226</v>
      </c>
      <c r="C248" s="19">
        <v>2000</v>
      </c>
      <c r="D248" s="35" t="s">
        <v>216</v>
      </c>
      <c r="E248" s="21"/>
      <c r="F248" s="23" t="s">
        <v>255</v>
      </c>
      <c r="G248" s="29">
        <v>0</v>
      </c>
    </row>
    <row r="249" spans="1:7" ht="9" hidden="1" customHeight="1" x14ac:dyDescent="0.3">
      <c r="A249" s="31">
        <v>45895</v>
      </c>
      <c r="B249" s="26" t="s">
        <v>45</v>
      </c>
      <c r="C249" s="35">
        <v>2200</v>
      </c>
      <c r="D249" s="35" t="s">
        <v>44</v>
      </c>
      <c r="E249" s="21"/>
      <c r="F249" s="23" t="s">
        <v>251</v>
      </c>
      <c r="G249" s="29">
        <v>0</v>
      </c>
    </row>
    <row r="250" spans="1:7" ht="9" hidden="1" customHeight="1" x14ac:dyDescent="0.3">
      <c r="A250" s="31">
        <v>45895</v>
      </c>
      <c r="B250" s="26" t="s">
        <v>53</v>
      </c>
      <c r="C250" s="35">
        <v>500</v>
      </c>
      <c r="D250" s="35" t="s">
        <v>54</v>
      </c>
      <c r="E250" s="21"/>
      <c r="F250" s="23" t="s">
        <v>327</v>
      </c>
      <c r="G250" s="29">
        <v>0</v>
      </c>
    </row>
    <row r="251" spans="1:7" ht="9" hidden="1" customHeight="1" x14ac:dyDescent="0.3">
      <c r="A251" s="31">
        <v>45895</v>
      </c>
      <c r="B251" s="26" t="s">
        <v>225</v>
      </c>
      <c r="C251" s="35">
        <v>500</v>
      </c>
      <c r="D251" s="35" t="s">
        <v>136</v>
      </c>
      <c r="E251" s="21"/>
      <c r="F251" s="23" t="s">
        <v>304</v>
      </c>
      <c r="G251" s="29">
        <v>0</v>
      </c>
    </row>
    <row r="252" spans="1:7" ht="9.75" hidden="1" customHeight="1" x14ac:dyDescent="0.3">
      <c r="A252" s="31">
        <v>45895</v>
      </c>
      <c r="B252" s="26" t="s">
        <v>172</v>
      </c>
      <c r="C252" s="35">
        <v>3000</v>
      </c>
      <c r="D252" s="35" t="s">
        <v>176</v>
      </c>
      <c r="E252" s="21"/>
      <c r="F252" s="23" t="s">
        <v>297</v>
      </c>
      <c r="G252" s="29">
        <v>0</v>
      </c>
    </row>
    <row r="253" spans="1:7" ht="9.75" hidden="1" customHeight="1" x14ac:dyDescent="0.3">
      <c r="A253" s="31">
        <v>45895</v>
      </c>
      <c r="B253" s="26" t="s">
        <v>227</v>
      </c>
      <c r="C253" s="35">
        <v>500</v>
      </c>
      <c r="D253" s="35" t="s">
        <v>52</v>
      </c>
      <c r="E253" s="21"/>
      <c r="F253" s="23" t="s">
        <v>480</v>
      </c>
      <c r="G253" s="29">
        <v>0</v>
      </c>
    </row>
    <row r="254" spans="1:7" ht="9.75" hidden="1" customHeight="1" x14ac:dyDescent="0.3">
      <c r="A254" s="31">
        <v>45895</v>
      </c>
      <c r="B254" s="26" t="s">
        <v>45</v>
      </c>
      <c r="C254" s="35">
        <v>1000</v>
      </c>
      <c r="D254" s="35" t="s">
        <v>44</v>
      </c>
      <c r="E254" s="21"/>
      <c r="F254" s="23" t="s">
        <v>251</v>
      </c>
      <c r="G254" s="29">
        <v>0</v>
      </c>
    </row>
    <row r="255" spans="1:7" ht="9.75" hidden="1" customHeight="1" x14ac:dyDescent="0.3">
      <c r="A255" s="31">
        <v>45896</v>
      </c>
      <c r="B255" s="26" t="s">
        <v>217</v>
      </c>
      <c r="C255" s="35">
        <v>10000</v>
      </c>
      <c r="D255" s="35" t="s">
        <v>133</v>
      </c>
      <c r="E255" s="21"/>
      <c r="F255" s="23" t="s">
        <v>248</v>
      </c>
      <c r="G255" s="29">
        <v>0</v>
      </c>
    </row>
    <row r="256" spans="1:7" ht="9.75" hidden="1" customHeight="1" x14ac:dyDescent="0.3">
      <c r="A256" s="31">
        <v>45896</v>
      </c>
      <c r="B256" s="26" t="s">
        <v>228</v>
      </c>
      <c r="C256" s="35">
        <v>1000</v>
      </c>
      <c r="D256" s="35" t="s">
        <v>133</v>
      </c>
      <c r="E256" s="21"/>
      <c r="F256" s="23" t="s">
        <v>248</v>
      </c>
      <c r="G256" s="29">
        <v>0</v>
      </c>
    </row>
    <row r="257" spans="1:10" ht="9.75" hidden="1" customHeight="1" x14ac:dyDescent="0.3">
      <c r="A257" s="31">
        <v>45896</v>
      </c>
      <c r="B257" s="26" t="s">
        <v>49</v>
      </c>
      <c r="C257" s="35">
        <v>500</v>
      </c>
      <c r="D257" s="35" t="s">
        <v>156</v>
      </c>
      <c r="E257" s="21"/>
      <c r="F257" s="23" t="s">
        <v>324</v>
      </c>
      <c r="G257" s="29">
        <v>0</v>
      </c>
    </row>
    <row r="258" spans="1:10" ht="9.75" hidden="1" customHeight="1" x14ac:dyDescent="0.3">
      <c r="A258" s="31">
        <v>45896</v>
      </c>
      <c r="B258" s="26" t="s">
        <v>46</v>
      </c>
      <c r="C258" s="35">
        <v>300</v>
      </c>
      <c r="D258" s="35" t="s">
        <v>30</v>
      </c>
      <c r="E258" s="21"/>
      <c r="F258" s="23" t="s">
        <v>388</v>
      </c>
      <c r="G258" s="29">
        <v>0</v>
      </c>
    </row>
    <row r="259" spans="1:10" ht="9.75" hidden="1" customHeight="1" x14ac:dyDescent="0.3">
      <c r="A259" s="31">
        <v>45896</v>
      </c>
      <c r="B259" s="26" t="s">
        <v>229</v>
      </c>
      <c r="C259" s="35">
        <v>30000</v>
      </c>
      <c r="D259" s="35" t="s">
        <v>151</v>
      </c>
      <c r="E259" s="21"/>
      <c r="F259" s="23" t="s">
        <v>289</v>
      </c>
      <c r="G259" s="29">
        <v>0</v>
      </c>
    </row>
    <row r="260" spans="1:10" ht="9.75" customHeight="1" x14ac:dyDescent="0.3">
      <c r="A260" s="31">
        <v>45896</v>
      </c>
      <c r="B260" s="26" t="s">
        <v>230</v>
      </c>
      <c r="C260" s="35">
        <v>24000</v>
      </c>
      <c r="D260" s="35" t="s">
        <v>149</v>
      </c>
      <c r="E260" s="21"/>
      <c r="F260" s="23" t="s">
        <v>290</v>
      </c>
      <c r="G260" s="29">
        <v>0</v>
      </c>
    </row>
    <row r="261" spans="1:10" ht="9.75" hidden="1" customHeight="1" x14ac:dyDescent="0.3">
      <c r="A261" s="31">
        <v>45896</v>
      </c>
      <c r="B261" s="26" t="s">
        <v>231</v>
      </c>
      <c r="C261" s="35">
        <v>1000</v>
      </c>
      <c r="D261" s="35" t="s">
        <v>216</v>
      </c>
      <c r="E261" s="21"/>
      <c r="F261" s="23" t="s">
        <v>255</v>
      </c>
      <c r="G261" s="29">
        <v>0</v>
      </c>
    </row>
    <row r="262" spans="1:10" ht="9.75" hidden="1" customHeight="1" x14ac:dyDescent="0.3">
      <c r="A262" s="31">
        <v>45896</v>
      </c>
      <c r="B262" s="26" t="s">
        <v>232</v>
      </c>
      <c r="C262" s="35">
        <v>1000</v>
      </c>
      <c r="D262" s="35" t="s">
        <v>241</v>
      </c>
      <c r="E262" s="21"/>
      <c r="F262" s="23" t="s">
        <v>325</v>
      </c>
      <c r="G262" s="29">
        <v>0</v>
      </c>
    </row>
    <row r="263" spans="1:10" ht="9.75" hidden="1" customHeight="1" x14ac:dyDescent="0.3">
      <c r="A263" s="31">
        <v>45896</v>
      </c>
      <c r="B263" s="26" t="s">
        <v>233</v>
      </c>
      <c r="C263" s="35">
        <v>2500</v>
      </c>
      <c r="D263" s="35" t="s">
        <v>67</v>
      </c>
      <c r="E263" s="21"/>
      <c r="F263" s="23" t="s">
        <v>278</v>
      </c>
      <c r="G263" s="29">
        <v>0</v>
      </c>
    </row>
    <row r="264" spans="1:10" ht="9.75" hidden="1" customHeight="1" x14ac:dyDescent="0.3">
      <c r="A264" s="31">
        <v>45897</v>
      </c>
      <c r="B264" s="26" t="s">
        <v>237</v>
      </c>
      <c r="C264" s="35">
        <v>2400</v>
      </c>
      <c r="D264" s="35" t="s">
        <v>136</v>
      </c>
      <c r="E264" s="21"/>
      <c r="F264" s="23" t="s">
        <v>304</v>
      </c>
      <c r="G264" s="29">
        <v>0</v>
      </c>
    </row>
    <row r="265" spans="1:10" ht="9.75" hidden="1" customHeight="1" x14ac:dyDescent="0.3">
      <c r="A265" s="31">
        <v>45897</v>
      </c>
      <c r="B265" s="26" t="s">
        <v>53</v>
      </c>
      <c r="C265" s="35">
        <v>500</v>
      </c>
      <c r="D265" s="35" t="s">
        <v>54</v>
      </c>
      <c r="E265" s="21"/>
      <c r="F265" s="23" t="s">
        <v>327</v>
      </c>
      <c r="G265" s="29">
        <v>0</v>
      </c>
    </row>
    <row r="266" spans="1:10" ht="9.75" hidden="1" customHeight="1" x14ac:dyDescent="0.3">
      <c r="A266" s="31">
        <v>45897</v>
      </c>
      <c r="B266" s="26" t="s">
        <v>45</v>
      </c>
      <c r="C266" s="35">
        <v>400</v>
      </c>
      <c r="D266" s="35" t="s">
        <v>44</v>
      </c>
      <c r="E266" s="21"/>
      <c r="F266" s="23" t="s">
        <v>251</v>
      </c>
      <c r="G266" s="29">
        <v>0</v>
      </c>
    </row>
    <row r="267" spans="1:10" ht="9.75" hidden="1" customHeight="1" x14ac:dyDescent="0.3">
      <c r="A267" s="31">
        <v>45897</v>
      </c>
      <c r="B267" s="26" t="s">
        <v>173</v>
      </c>
      <c r="C267" s="35">
        <v>2500</v>
      </c>
      <c r="D267" s="35" t="s">
        <v>187</v>
      </c>
      <c r="E267" s="21"/>
      <c r="F267" s="23" t="s">
        <v>290</v>
      </c>
      <c r="G267" s="29">
        <v>0</v>
      </c>
    </row>
    <row r="268" spans="1:10" ht="9.75" hidden="1" customHeight="1" x14ac:dyDescent="0.3">
      <c r="A268" s="31">
        <v>45897</v>
      </c>
      <c r="B268" s="26" t="s">
        <v>45</v>
      </c>
      <c r="C268" s="35">
        <v>500</v>
      </c>
      <c r="D268" s="35" t="s">
        <v>44</v>
      </c>
      <c r="E268" s="21"/>
      <c r="F268" s="23" t="s">
        <v>251</v>
      </c>
      <c r="G268" s="29">
        <v>0</v>
      </c>
    </row>
    <row r="269" spans="1:10" ht="9.75" customHeight="1" x14ac:dyDescent="0.3">
      <c r="A269" s="31">
        <v>45898</v>
      </c>
      <c r="B269" s="26" t="s">
        <v>190</v>
      </c>
      <c r="C269" s="35">
        <v>12000</v>
      </c>
      <c r="D269" s="35" t="s">
        <v>149</v>
      </c>
      <c r="E269" s="21"/>
      <c r="F269" s="23" t="s">
        <v>290</v>
      </c>
      <c r="G269" s="29">
        <v>0</v>
      </c>
      <c r="J269" t="s">
        <v>236</v>
      </c>
    </row>
    <row r="270" spans="1:10" ht="9.75" hidden="1" customHeight="1" x14ac:dyDescent="0.3">
      <c r="A270" s="31">
        <v>45898</v>
      </c>
      <c r="B270" s="26" t="s">
        <v>238</v>
      </c>
      <c r="C270" s="35">
        <v>15000</v>
      </c>
      <c r="D270" s="35" t="s">
        <v>67</v>
      </c>
      <c r="E270" s="21"/>
      <c r="F270" s="23" t="s">
        <v>278</v>
      </c>
      <c r="G270" s="29">
        <v>0</v>
      </c>
    </row>
    <row r="271" spans="1:10" ht="9.75" hidden="1" customHeight="1" x14ac:dyDescent="0.3">
      <c r="A271" s="31">
        <v>45898</v>
      </c>
      <c r="B271" s="26" t="s">
        <v>239</v>
      </c>
      <c r="C271" s="35">
        <v>500</v>
      </c>
      <c r="D271" s="35" t="s">
        <v>136</v>
      </c>
      <c r="E271" s="21"/>
      <c r="F271" s="23" t="s">
        <v>304</v>
      </c>
      <c r="G271" s="29">
        <v>0</v>
      </c>
    </row>
    <row r="272" spans="1:10" ht="9.75" hidden="1" customHeight="1" x14ac:dyDescent="0.3">
      <c r="A272" s="31">
        <v>45899</v>
      </c>
      <c r="B272" s="26" t="s">
        <v>228</v>
      </c>
      <c r="C272" s="35">
        <v>1500</v>
      </c>
      <c r="D272" s="35" t="s">
        <v>133</v>
      </c>
      <c r="E272" s="21"/>
      <c r="F272" s="23" t="s">
        <v>248</v>
      </c>
      <c r="G272" s="29">
        <v>0</v>
      </c>
    </row>
    <row r="273" spans="1:7" ht="9.75" hidden="1" customHeight="1" x14ac:dyDescent="0.3">
      <c r="A273" s="31">
        <v>45899</v>
      </c>
      <c r="B273" s="26" t="s">
        <v>247</v>
      </c>
      <c r="C273" s="35">
        <v>1000</v>
      </c>
      <c r="D273" s="35" t="s">
        <v>44</v>
      </c>
      <c r="E273" s="21"/>
      <c r="F273" s="23" t="s">
        <v>251</v>
      </c>
      <c r="G273" s="29">
        <v>0</v>
      </c>
    </row>
    <row r="274" spans="1:7" ht="9.75" hidden="1" customHeight="1" x14ac:dyDescent="0.3">
      <c r="A274" s="31">
        <v>45899</v>
      </c>
      <c r="B274" s="26" t="s">
        <v>56</v>
      </c>
      <c r="C274" s="35">
        <v>700</v>
      </c>
      <c r="D274" s="35" t="s">
        <v>44</v>
      </c>
      <c r="E274" s="21"/>
      <c r="F274" s="23" t="s">
        <v>251</v>
      </c>
      <c r="G274" s="29">
        <v>0</v>
      </c>
    </row>
    <row r="275" spans="1:7" ht="9.75" hidden="1" customHeight="1" x14ac:dyDescent="0.3">
      <c r="A275" s="31">
        <v>45899</v>
      </c>
      <c r="B275" s="26" t="s">
        <v>45</v>
      </c>
      <c r="C275" s="35">
        <v>600</v>
      </c>
      <c r="D275" s="35" t="s">
        <v>44</v>
      </c>
      <c r="E275" s="21"/>
      <c r="F275" s="23" t="s">
        <v>251</v>
      </c>
      <c r="G275" s="29">
        <v>0</v>
      </c>
    </row>
    <row r="276" spans="1:7" ht="9.75" hidden="1" customHeight="1" x14ac:dyDescent="0.3">
      <c r="A276" s="31">
        <v>45901</v>
      </c>
      <c r="B276" s="26" t="s">
        <v>242</v>
      </c>
      <c r="C276" s="35">
        <v>500</v>
      </c>
      <c r="D276" s="35" t="s">
        <v>54</v>
      </c>
      <c r="E276" s="21"/>
      <c r="F276" s="23" t="s">
        <v>327</v>
      </c>
      <c r="G276" s="29">
        <v>0</v>
      </c>
    </row>
    <row r="277" spans="1:7" ht="11.25" hidden="1" customHeight="1" x14ac:dyDescent="0.3">
      <c r="A277" s="31">
        <v>45904</v>
      </c>
      <c r="B277" s="26" t="s">
        <v>259</v>
      </c>
      <c r="C277" s="35">
        <v>2500</v>
      </c>
      <c r="D277" s="35" t="s">
        <v>30</v>
      </c>
      <c r="E277" s="21"/>
      <c r="F277" s="23" t="s">
        <v>388</v>
      </c>
      <c r="G277" s="29">
        <v>0</v>
      </c>
    </row>
    <row r="278" spans="1:7" ht="8.25" hidden="1" customHeight="1" x14ac:dyDescent="0.3">
      <c r="A278" s="31">
        <v>45904</v>
      </c>
      <c r="B278" s="26" t="s">
        <v>45</v>
      </c>
      <c r="C278" s="35">
        <v>3000</v>
      </c>
      <c r="D278" s="35" t="s">
        <v>44</v>
      </c>
      <c r="E278" s="21"/>
      <c r="F278" s="23" t="s">
        <v>315</v>
      </c>
      <c r="G278" s="29">
        <v>0</v>
      </c>
    </row>
    <row r="279" spans="1:7" ht="9.75" hidden="1" customHeight="1" x14ac:dyDescent="0.3">
      <c r="A279" s="31">
        <v>45904</v>
      </c>
      <c r="B279" s="26" t="s">
        <v>43</v>
      </c>
      <c r="C279" s="35">
        <v>500</v>
      </c>
      <c r="D279" s="35" t="s">
        <v>30</v>
      </c>
      <c r="E279" s="21"/>
      <c r="F279" s="23" t="s">
        <v>388</v>
      </c>
      <c r="G279" s="29">
        <v>0</v>
      </c>
    </row>
    <row r="280" spans="1:7" ht="9.75" hidden="1" customHeight="1" x14ac:dyDescent="0.3">
      <c r="A280" s="31">
        <v>45905</v>
      </c>
      <c r="B280" s="26" t="s">
        <v>258</v>
      </c>
      <c r="C280" s="35">
        <v>1000</v>
      </c>
      <c r="D280" s="35" t="s">
        <v>256</v>
      </c>
      <c r="E280" s="21"/>
      <c r="F280" s="23"/>
      <c r="G280" s="29">
        <v>1000</v>
      </c>
    </row>
    <row r="281" spans="1:7" ht="9.75" hidden="1" customHeight="1" x14ac:dyDescent="0.3">
      <c r="A281" s="31">
        <v>45909</v>
      </c>
      <c r="B281" s="26" t="s">
        <v>180</v>
      </c>
      <c r="C281" s="35">
        <v>500</v>
      </c>
      <c r="D281" s="35" t="s">
        <v>150</v>
      </c>
      <c r="E281" s="21"/>
      <c r="F281" s="23" t="s">
        <v>303</v>
      </c>
      <c r="G281" s="29">
        <v>0</v>
      </c>
    </row>
    <row r="282" spans="1:7" ht="9.75" hidden="1" customHeight="1" x14ac:dyDescent="0.3">
      <c r="A282" s="31">
        <v>45910</v>
      </c>
      <c r="B282" s="26" t="s">
        <v>257</v>
      </c>
      <c r="C282" s="35">
        <v>2000</v>
      </c>
      <c r="D282" s="35" t="s">
        <v>256</v>
      </c>
      <c r="E282" s="21"/>
      <c r="F282" s="23"/>
      <c r="G282" s="29">
        <v>2000</v>
      </c>
    </row>
    <row r="283" spans="1:7" ht="9.75" hidden="1" customHeight="1" x14ac:dyDescent="0.3">
      <c r="A283" s="31">
        <v>45910</v>
      </c>
      <c r="B283" s="26" t="s">
        <v>260</v>
      </c>
      <c r="C283" s="19">
        <v>1000</v>
      </c>
      <c r="D283" s="19" t="s">
        <v>44</v>
      </c>
      <c r="E283" s="21"/>
      <c r="F283" s="23" t="s">
        <v>315</v>
      </c>
      <c r="G283" s="29">
        <v>0</v>
      </c>
    </row>
    <row r="284" spans="1:7" ht="11.25" hidden="1" customHeight="1" x14ac:dyDescent="0.3">
      <c r="A284" s="31">
        <v>45910</v>
      </c>
      <c r="B284" s="26" t="s">
        <v>262</v>
      </c>
      <c r="C284" s="19">
        <v>5000</v>
      </c>
      <c r="D284" s="19" t="s">
        <v>164</v>
      </c>
      <c r="E284" s="21"/>
      <c r="F284" s="23" t="s">
        <v>266</v>
      </c>
      <c r="G284" s="29">
        <v>0</v>
      </c>
    </row>
    <row r="285" spans="1:7" ht="11.25" hidden="1" customHeight="1" x14ac:dyDescent="0.3">
      <c r="A285" s="31">
        <v>45910</v>
      </c>
      <c r="B285" s="26" t="s">
        <v>45</v>
      </c>
      <c r="C285" s="19">
        <v>2000</v>
      </c>
      <c r="D285" s="19" t="s">
        <v>95</v>
      </c>
      <c r="E285" s="21"/>
      <c r="F285" s="23" t="s">
        <v>315</v>
      </c>
      <c r="G285" s="29">
        <v>0</v>
      </c>
    </row>
    <row r="286" spans="1:7" ht="11.25" hidden="1" customHeight="1" x14ac:dyDescent="0.3">
      <c r="A286" s="31">
        <v>45910</v>
      </c>
      <c r="B286" s="26" t="s">
        <v>172</v>
      </c>
      <c r="C286" s="19">
        <v>2000</v>
      </c>
      <c r="D286" s="19" t="s">
        <v>133</v>
      </c>
      <c r="E286" s="21"/>
      <c r="F286" s="23" t="s">
        <v>293</v>
      </c>
      <c r="G286" s="29">
        <v>0</v>
      </c>
    </row>
    <row r="287" spans="1:7" ht="11.25" hidden="1" customHeight="1" x14ac:dyDescent="0.3">
      <c r="A287" s="31">
        <v>45915</v>
      </c>
      <c r="B287" s="26" t="s">
        <v>263</v>
      </c>
      <c r="C287" s="19" t="s">
        <v>236</v>
      </c>
      <c r="D287" s="19" t="s">
        <v>164</v>
      </c>
      <c r="E287" s="21"/>
      <c r="F287" s="23" t="s">
        <v>266</v>
      </c>
      <c r="G287" s="29">
        <v>0</v>
      </c>
    </row>
    <row r="288" spans="1:7" ht="11.25" hidden="1" customHeight="1" x14ac:dyDescent="0.3">
      <c r="A288" s="31">
        <v>45915</v>
      </c>
      <c r="B288" s="26" t="s">
        <v>64</v>
      </c>
      <c r="C288" s="19">
        <v>10000</v>
      </c>
      <c r="D288" s="19" t="s">
        <v>118</v>
      </c>
      <c r="E288" s="21"/>
      <c r="F288" s="23" t="s">
        <v>276</v>
      </c>
      <c r="G288" s="29">
        <v>0</v>
      </c>
    </row>
    <row r="289" spans="1:9" ht="11.25" hidden="1" customHeight="1" x14ac:dyDescent="0.3">
      <c r="A289" s="31">
        <v>45915</v>
      </c>
      <c r="B289" s="26" t="s">
        <v>45</v>
      </c>
      <c r="C289" s="19">
        <v>1500</v>
      </c>
      <c r="D289" s="19" t="s">
        <v>44</v>
      </c>
      <c r="E289" s="21"/>
      <c r="F289" s="23" t="s">
        <v>315</v>
      </c>
      <c r="G289" s="29">
        <v>0</v>
      </c>
    </row>
    <row r="290" spans="1:9" ht="11.25" hidden="1" customHeight="1" x14ac:dyDescent="0.3">
      <c r="A290" s="31">
        <v>45910</v>
      </c>
      <c r="B290" s="26" t="s">
        <v>184</v>
      </c>
      <c r="C290" s="19">
        <v>200</v>
      </c>
      <c r="D290" s="19" t="s">
        <v>156</v>
      </c>
      <c r="E290" s="21"/>
      <c r="F290" s="23" t="s">
        <v>376</v>
      </c>
      <c r="G290" s="29">
        <v>0</v>
      </c>
    </row>
    <row r="291" spans="1:9" ht="11.25" hidden="1" customHeight="1" x14ac:dyDescent="0.3">
      <c r="A291" s="31">
        <v>45915</v>
      </c>
      <c r="B291" s="26" t="s">
        <v>269</v>
      </c>
      <c r="C291" s="19">
        <v>1000</v>
      </c>
      <c r="D291" s="19" t="s">
        <v>273</v>
      </c>
      <c r="E291" s="21"/>
      <c r="F291" s="23" t="s">
        <v>321</v>
      </c>
      <c r="G291" s="29">
        <v>0</v>
      </c>
    </row>
    <row r="292" spans="1:9" ht="11.25" hidden="1" customHeight="1" x14ac:dyDescent="0.3">
      <c r="A292" s="31">
        <v>45916</v>
      </c>
      <c r="B292" s="26" t="s">
        <v>270</v>
      </c>
      <c r="C292" s="19">
        <v>500</v>
      </c>
      <c r="D292" s="19" t="s">
        <v>136</v>
      </c>
      <c r="E292" s="21"/>
      <c r="F292" s="23" t="s">
        <v>304</v>
      </c>
      <c r="G292" s="29">
        <v>0</v>
      </c>
    </row>
    <row r="293" spans="1:9" ht="11.25" hidden="1" customHeight="1" x14ac:dyDescent="0.3">
      <c r="A293" s="31">
        <v>45917</v>
      </c>
      <c r="B293" s="26" t="s">
        <v>128</v>
      </c>
      <c r="C293" s="19">
        <v>5000</v>
      </c>
      <c r="D293" s="19" t="s">
        <v>133</v>
      </c>
      <c r="E293" s="21"/>
      <c r="F293" s="23" t="s">
        <v>293</v>
      </c>
      <c r="G293" s="29">
        <v>0</v>
      </c>
      <c r="I293" t="s">
        <v>267</v>
      </c>
    </row>
    <row r="294" spans="1:9" ht="11.25" hidden="1" customHeight="1" x14ac:dyDescent="0.3">
      <c r="A294" s="31">
        <v>45918</v>
      </c>
      <c r="B294" s="26" t="s">
        <v>228</v>
      </c>
      <c r="C294" s="19">
        <v>1000</v>
      </c>
      <c r="D294" s="19" t="s">
        <v>133</v>
      </c>
      <c r="E294" s="21"/>
      <c r="F294" s="23" t="s">
        <v>293</v>
      </c>
      <c r="G294" s="29">
        <v>0</v>
      </c>
    </row>
    <row r="295" spans="1:9" ht="11.25" hidden="1" customHeight="1" x14ac:dyDescent="0.3">
      <c r="A295" s="31">
        <v>45919</v>
      </c>
      <c r="B295" s="26" t="s">
        <v>128</v>
      </c>
      <c r="C295" s="19">
        <v>2000</v>
      </c>
      <c r="D295" s="19" t="s">
        <v>133</v>
      </c>
      <c r="E295" s="21"/>
      <c r="F295" s="23" t="s">
        <v>293</v>
      </c>
      <c r="G295" s="29">
        <v>0</v>
      </c>
    </row>
    <row r="296" spans="1:9" ht="11.25" hidden="1" customHeight="1" x14ac:dyDescent="0.3">
      <c r="A296" s="31">
        <v>45919</v>
      </c>
      <c r="B296" s="26" t="s">
        <v>271</v>
      </c>
      <c r="C296" s="19">
        <v>8500</v>
      </c>
      <c r="D296" s="19" t="s">
        <v>176</v>
      </c>
      <c r="E296" s="21"/>
      <c r="F296" s="23" t="s">
        <v>297</v>
      </c>
      <c r="G296" s="29">
        <v>0</v>
      </c>
    </row>
    <row r="297" spans="1:9" ht="11.25" hidden="1" customHeight="1" x14ac:dyDescent="0.3">
      <c r="A297" s="31">
        <v>45919</v>
      </c>
      <c r="B297" s="26" t="s">
        <v>272</v>
      </c>
      <c r="C297" s="19">
        <v>3000</v>
      </c>
      <c r="D297" s="19" t="s">
        <v>176</v>
      </c>
      <c r="E297" s="21"/>
      <c r="F297" s="23" t="s">
        <v>297</v>
      </c>
      <c r="G297" s="29">
        <v>0</v>
      </c>
    </row>
    <row r="298" spans="1:9" ht="11.25" hidden="1" customHeight="1" x14ac:dyDescent="0.3">
      <c r="A298" s="31">
        <v>45926</v>
      </c>
      <c r="B298" s="26" t="s">
        <v>45</v>
      </c>
      <c r="C298" s="19">
        <v>500</v>
      </c>
      <c r="D298" s="19" t="s">
        <v>44</v>
      </c>
      <c r="E298" s="21"/>
      <c r="F298" s="23" t="s">
        <v>315</v>
      </c>
      <c r="G298" s="29">
        <v>0</v>
      </c>
    </row>
    <row r="299" spans="1:9" ht="11.25" hidden="1" customHeight="1" x14ac:dyDescent="0.3">
      <c r="A299" s="31">
        <v>45927</v>
      </c>
      <c r="B299" s="26" t="s">
        <v>275</v>
      </c>
      <c r="C299" s="19">
        <v>10000</v>
      </c>
      <c r="D299" s="19" t="s">
        <v>118</v>
      </c>
      <c r="E299" s="21"/>
      <c r="F299" s="23" t="s">
        <v>276</v>
      </c>
      <c r="G299" s="29">
        <v>0</v>
      </c>
    </row>
    <row r="300" spans="1:9" ht="11.25" hidden="1" customHeight="1" x14ac:dyDescent="0.3">
      <c r="A300" s="31">
        <v>45925</v>
      </c>
      <c r="B300" s="34" t="s">
        <v>223</v>
      </c>
      <c r="C300" s="35">
        <v>2000</v>
      </c>
      <c r="D300" s="35" t="s">
        <v>216</v>
      </c>
      <c r="E300" s="21"/>
      <c r="F300" s="23" t="s">
        <v>294</v>
      </c>
      <c r="G300" s="29">
        <v>0</v>
      </c>
    </row>
    <row r="301" spans="1:9" ht="11.25" hidden="1" customHeight="1" x14ac:dyDescent="0.3">
      <c r="A301" s="31">
        <v>45930</v>
      </c>
      <c r="B301" s="34" t="s">
        <v>280</v>
      </c>
      <c r="C301" s="35">
        <v>2000</v>
      </c>
      <c r="D301" s="35" t="s">
        <v>203</v>
      </c>
      <c r="E301" s="21"/>
      <c r="F301" s="23" t="s">
        <v>304</v>
      </c>
      <c r="G301" s="29">
        <v>0</v>
      </c>
    </row>
    <row r="302" spans="1:9" ht="11.25" hidden="1" customHeight="1" x14ac:dyDescent="0.3">
      <c r="A302" s="31">
        <v>45901</v>
      </c>
      <c r="B302" s="34" t="s">
        <v>53</v>
      </c>
      <c r="C302" s="35">
        <v>1000</v>
      </c>
      <c r="D302" s="35" t="s">
        <v>117</v>
      </c>
      <c r="E302" s="21"/>
      <c r="F302" s="23" t="s">
        <v>327</v>
      </c>
      <c r="G302" s="29">
        <v>0</v>
      </c>
    </row>
    <row r="303" spans="1:9" ht="11.25" hidden="1" customHeight="1" x14ac:dyDescent="0.3">
      <c r="A303" s="31">
        <v>45931</v>
      </c>
      <c r="B303" s="34" t="s">
        <v>113</v>
      </c>
      <c r="C303" s="35">
        <v>5000</v>
      </c>
      <c r="D303" s="35" t="s">
        <v>117</v>
      </c>
      <c r="E303" s="21"/>
      <c r="F303" s="23" t="s">
        <v>327</v>
      </c>
      <c r="G303" s="29">
        <v>0</v>
      </c>
    </row>
    <row r="304" spans="1:9" ht="11.25" hidden="1" customHeight="1" x14ac:dyDescent="0.3">
      <c r="A304" s="31">
        <v>45931</v>
      </c>
      <c r="B304" s="34" t="s">
        <v>281</v>
      </c>
      <c r="C304" s="35">
        <v>8000</v>
      </c>
      <c r="D304" s="35" t="s">
        <v>164</v>
      </c>
      <c r="E304" s="21"/>
      <c r="F304" s="23" t="s">
        <v>288</v>
      </c>
      <c r="G304" s="29">
        <v>0</v>
      </c>
    </row>
    <row r="305" spans="1:10" ht="11.25" hidden="1" customHeight="1" x14ac:dyDescent="0.3">
      <c r="A305" s="31">
        <v>45931</v>
      </c>
      <c r="B305" s="34" t="s">
        <v>33</v>
      </c>
      <c r="C305" s="35">
        <v>1000</v>
      </c>
      <c r="D305" s="19" t="s">
        <v>273</v>
      </c>
      <c r="E305" s="21"/>
      <c r="F305" s="23" t="s">
        <v>327</v>
      </c>
      <c r="G305" s="29">
        <v>0</v>
      </c>
    </row>
    <row r="306" spans="1:10" ht="11.25" hidden="1" customHeight="1" x14ac:dyDescent="0.3">
      <c r="A306" s="31">
        <v>45931</v>
      </c>
      <c r="B306" s="34" t="s">
        <v>282</v>
      </c>
      <c r="C306" s="35">
        <v>1000</v>
      </c>
      <c r="D306" s="35" t="s">
        <v>273</v>
      </c>
      <c r="E306" s="21"/>
      <c r="F306" s="23" t="s">
        <v>327</v>
      </c>
      <c r="G306" s="29">
        <v>0</v>
      </c>
    </row>
    <row r="307" spans="1:10" ht="11.25" hidden="1" customHeight="1" x14ac:dyDescent="0.3">
      <c r="A307" s="31">
        <v>45931</v>
      </c>
      <c r="B307" s="34" t="s">
        <v>45</v>
      </c>
      <c r="C307" s="35">
        <v>700</v>
      </c>
      <c r="D307" s="35" t="s">
        <v>44</v>
      </c>
      <c r="E307" s="21"/>
      <c r="F307" s="23" t="s">
        <v>315</v>
      </c>
      <c r="G307" s="29">
        <v>0</v>
      </c>
    </row>
    <row r="308" spans="1:10" ht="11.25" hidden="1" customHeight="1" x14ac:dyDescent="0.3">
      <c r="A308" s="31">
        <v>45932</v>
      </c>
      <c r="B308" s="34" t="s">
        <v>283</v>
      </c>
      <c r="C308" s="35">
        <v>2000</v>
      </c>
      <c r="D308" s="35" t="s">
        <v>133</v>
      </c>
      <c r="E308" s="21"/>
      <c r="F308" s="23" t="s">
        <v>293</v>
      </c>
      <c r="G308" s="29">
        <v>0</v>
      </c>
    </row>
    <row r="309" spans="1:10" ht="11.25" hidden="1" customHeight="1" x14ac:dyDescent="0.3">
      <c r="A309" s="31">
        <v>45932</v>
      </c>
      <c r="B309" s="34" t="s">
        <v>283</v>
      </c>
      <c r="C309" s="35">
        <v>3000</v>
      </c>
      <c r="D309" s="35" t="s">
        <v>133</v>
      </c>
      <c r="E309" s="21"/>
      <c r="F309" s="23" t="s">
        <v>293</v>
      </c>
      <c r="G309" s="29">
        <v>0</v>
      </c>
    </row>
    <row r="310" spans="1:10" ht="11.25" hidden="1" customHeight="1" x14ac:dyDescent="0.3">
      <c r="A310" s="31">
        <v>45934</v>
      </c>
      <c r="B310" s="34" t="s">
        <v>284</v>
      </c>
      <c r="C310" s="35">
        <v>7500</v>
      </c>
      <c r="D310" s="35" t="s">
        <v>164</v>
      </c>
      <c r="E310" s="21"/>
      <c r="F310" s="23" t="s">
        <v>288</v>
      </c>
      <c r="G310" s="29">
        <v>0</v>
      </c>
    </row>
    <row r="311" spans="1:10" ht="11.25" hidden="1" customHeight="1" x14ac:dyDescent="0.3">
      <c r="A311" s="31">
        <v>45934</v>
      </c>
      <c r="B311" s="34" t="s">
        <v>8</v>
      </c>
      <c r="C311" s="35">
        <v>1000</v>
      </c>
      <c r="D311" s="35" t="s">
        <v>285</v>
      </c>
      <c r="E311" s="21"/>
      <c r="F311" s="23" t="s">
        <v>352</v>
      </c>
      <c r="G311" s="29">
        <v>0</v>
      </c>
    </row>
    <row r="312" spans="1:10" ht="11.25" hidden="1" customHeight="1" x14ac:dyDescent="0.3">
      <c r="A312" s="31">
        <v>45934</v>
      </c>
      <c r="B312" s="26" t="s">
        <v>8</v>
      </c>
      <c r="C312" s="19">
        <v>700</v>
      </c>
      <c r="D312" s="19" t="s">
        <v>285</v>
      </c>
      <c r="E312" s="21"/>
      <c r="F312" s="23" t="s">
        <v>352</v>
      </c>
      <c r="G312" s="29">
        <v>0</v>
      </c>
    </row>
    <row r="313" spans="1:10" ht="11.25" hidden="1" customHeight="1" x14ac:dyDescent="0.3">
      <c r="A313" s="31">
        <v>45934</v>
      </c>
      <c r="B313" s="26" t="s">
        <v>286</v>
      </c>
      <c r="C313" s="19">
        <v>1400</v>
      </c>
      <c r="D313" s="19" t="s">
        <v>285</v>
      </c>
      <c r="E313" s="21"/>
      <c r="F313" s="23" t="s">
        <v>352</v>
      </c>
      <c r="G313" s="29">
        <v>0</v>
      </c>
    </row>
    <row r="314" spans="1:10" ht="11.25" hidden="1" customHeight="1" x14ac:dyDescent="0.3">
      <c r="A314" s="31">
        <v>45934</v>
      </c>
      <c r="B314" s="26" t="s">
        <v>184</v>
      </c>
      <c r="C314" s="19">
        <v>1000</v>
      </c>
      <c r="D314" s="19" t="s">
        <v>285</v>
      </c>
      <c r="E314" s="21"/>
      <c r="F314" s="23" t="s">
        <v>352</v>
      </c>
      <c r="G314" s="29">
        <v>0</v>
      </c>
    </row>
    <row r="315" spans="1:10" ht="11.25" hidden="1" customHeight="1" x14ac:dyDescent="0.3">
      <c r="A315" s="31">
        <v>45946</v>
      </c>
      <c r="B315" s="26" t="s">
        <v>223</v>
      </c>
      <c r="C315" s="19">
        <v>10500</v>
      </c>
      <c r="D315" s="19" t="s">
        <v>216</v>
      </c>
      <c r="E315" s="21"/>
      <c r="F315" s="23" t="s">
        <v>294</v>
      </c>
      <c r="G315" s="29">
        <v>0</v>
      </c>
    </row>
    <row r="316" spans="1:10" ht="11.25" hidden="1" customHeight="1" x14ac:dyDescent="0.3">
      <c r="A316" s="31">
        <v>45953</v>
      </c>
      <c r="B316" s="34" t="s">
        <v>307</v>
      </c>
      <c r="C316" s="19">
        <v>2000</v>
      </c>
      <c r="D316" s="19" t="s">
        <v>203</v>
      </c>
      <c r="E316" s="21"/>
      <c r="F316" s="23" t="s">
        <v>304</v>
      </c>
      <c r="G316" s="29">
        <v>0</v>
      </c>
      <c r="J316" t="s">
        <v>454</v>
      </c>
    </row>
    <row r="317" spans="1:10" ht="11.25" hidden="1" customHeight="1" x14ac:dyDescent="0.3">
      <c r="A317" s="31">
        <v>45946</v>
      </c>
      <c r="B317" s="34" t="s">
        <v>308</v>
      </c>
      <c r="C317" s="19">
        <v>1000</v>
      </c>
      <c r="D317" s="19" t="s">
        <v>30</v>
      </c>
      <c r="E317" s="21"/>
      <c r="F317" s="23" t="s">
        <v>388</v>
      </c>
      <c r="G317" s="29">
        <v>0</v>
      </c>
    </row>
    <row r="318" spans="1:10" ht="11.25" hidden="1" customHeight="1" x14ac:dyDescent="0.3">
      <c r="A318" s="31">
        <v>45951</v>
      </c>
      <c r="B318" s="34" t="s">
        <v>224</v>
      </c>
      <c r="C318" s="19">
        <v>1000</v>
      </c>
      <c r="D318" s="19" t="s">
        <v>117</v>
      </c>
      <c r="E318" s="21"/>
      <c r="F318" s="23" t="s">
        <v>327</v>
      </c>
      <c r="G318" s="29">
        <v>0</v>
      </c>
    </row>
    <row r="319" spans="1:10" ht="11.25" hidden="1" customHeight="1" x14ac:dyDescent="0.3">
      <c r="A319" s="31">
        <v>45951</v>
      </c>
      <c r="B319" s="34" t="s">
        <v>272</v>
      </c>
      <c r="C319" s="19">
        <v>6000</v>
      </c>
      <c r="D319" s="19" t="s">
        <v>176</v>
      </c>
      <c r="E319" s="21"/>
      <c r="F319" s="23" t="s">
        <v>318</v>
      </c>
      <c r="G319" s="29">
        <v>0</v>
      </c>
    </row>
    <row r="320" spans="1:10" ht="11.25" hidden="1" customHeight="1" x14ac:dyDescent="0.3">
      <c r="A320" s="31">
        <v>45954</v>
      </c>
      <c r="B320" s="34" t="s">
        <v>309</v>
      </c>
      <c r="C320" s="19">
        <v>1000</v>
      </c>
      <c r="D320" s="19" t="s">
        <v>101</v>
      </c>
      <c r="E320" s="21"/>
      <c r="F320" s="23"/>
      <c r="G320" s="29">
        <v>1000</v>
      </c>
    </row>
    <row r="321" spans="1:7" ht="11.25" hidden="1" customHeight="1" x14ac:dyDescent="0.3">
      <c r="A321" s="31">
        <v>45954</v>
      </c>
      <c r="B321" s="34" t="s">
        <v>310</v>
      </c>
      <c r="C321" s="19">
        <v>4000</v>
      </c>
      <c r="D321" s="19" t="s">
        <v>311</v>
      </c>
      <c r="E321" s="21"/>
      <c r="F321" s="23" t="s">
        <v>329</v>
      </c>
      <c r="G321" s="29">
        <v>0</v>
      </c>
    </row>
    <row r="322" spans="1:7" ht="11.25" hidden="1" customHeight="1" x14ac:dyDescent="0.3">
      <c r="A322" s="31">
        <v>45964</v>
      </c>
      <c r="B322" s="26" t="s">
        <v>312</v>
      </c>
      <c r="C322" s="19">
        <v>3000</v>
      </c>
      <c r="D322" s="19" t="s">
        <v>176</v>
      </c>
      <c r="E322" s="21"/>
      <c r="F322" s="23" t="s">
        <v>318</v>
      </c>
      <c r="G322" s="29">
        <v>0</v>
      </c>
    </row>
    <row r="323" spans="1:7" ht="11.25" hidden="1" customHeight="1" x14ac:dyDescent="0.3">
      <c r="A323" s="31">
        <v>45964</v>
      </c>
      <c r="B323" s="26" t="s">
        <v>314</v>
      </c>
      <c r="C323" s="19">
        <v>1000</v>
      </c>
      <c r="D323" s="19" t="s">
        <v>195</v>
      </c>
      <c r="E323" s="21"/>
      <c r="F323" s="23" t="s">
        <v>382</v>
      </c>
      <c r="G323" s="29">
        <v>0</v>
      </c>
    </row>
    <row r="324" spans="1:7" ht="11.25" hidden="1" customHeight="1" x14ac:dyDescent="0.3">
      <c r="A324" s="31">
        <v>45971</v>
      </c>
      <c r="B324" s="34" t="s">
        <v>317</v>
      </c>
      <c r="C324" s="35">
        <v>25500</v>
      </c>
      <c r="D324" s="35" t="s">
        <v>176</v>
      </c>
      <c r="E324" s="48"/>
      <c r="F324" s="23" t="s">
        <v>318</v>
      </c>
      <c r="G324" s="38">
        <v>0</v>
      </c>
    </row>
    <row r="325" spans="1:7" ht="11.25" hidden="1" customHeight="1" x14ac:dyDescent="0.3">
      <c r="A325" s="31">
        <v>45972</v>
      </c>
      <c r="B325" s="26" t="s">
        <v>56</v>
      </c>
      <c r="C325" s="19">
        <v>2000</v>
      </c>
      <c r="D325" s="19" t="s">
        <v>95</v>
      </c>
      <c r="E325" s="21"/>
      <c r="F325" s="23" t="s">
        <v>367</v>
      </c>
      <c r="G325" s="29">
        <v>0</v>
      </c>
    </row>
    <row r="326" spans="1:7" ht="11.25" hidden="1" customHeight="1" x14ac:dyDescent="0.3">
      <c r="A326" s="31">
        <v>45972</v>
      </c>
      <c r="B326" s="34" t="s">
        <v>228</v>
      </c>
      <c r="C326" s="19">
        <v>1500</v>
      </c>
      <c r="D326" s="19" t="s">
        <v>133</v>
      </c>
      <c r="E326" s="21"/>
      <c r="F326" s="23" t="s">
        <v>367</v>
      </c>
      <c r="G326" s="29">
        <v>0</v>
      </c>
    </row>
    <row r="327" spans="1:7" ht="11.25" hidden="1" customHeight="1" x14ac:dyDescent="0.3">
      <c r="A327" s="31">
        <v>45972</v>
      </c>
      <c r="B327" s="26" t="s">
        <v>45</v>
      </c>
      <c r="C327" s="19">
        <v>600</v>
      </c>
      <c r="D327" s="19" t="s">
        <v>95</v>
      </c>
      <c r="E327" s="21"/>
      <c r="F327" s="23" t="s">
        <v>367</v>
      </c>
      <c r="G327" s="29">
        <v>0</v>
      </c>
    </row>
    <row r="328" spans="1:7" ht="11.25" hidden="1" customHeight="1" x14ac:dyDescent="0.3">
      <c r="A328" s="31">
        <v>45972</v>
      </c>
      <c r="B328" s="26" t="s">
        <v>314</v>
      </c>
      <c r="C328" s="19">
        <v>1000</v>
      </c>
      <c r="D328" s="19" t="s">
        <v>195</v>
      </c>
      <c r="E328" s="21"/>
      <c r="F328" s="23" t="s">
        <v>382</v>
      </c>
      <c r="G328" s="29">
        <v>0</v>
      </c>
    </row>
    <row r="329" spans="1:7" ht="11.25" hidden="1" customHeight="1" x14ac:dyDescent="0.3">
      <c r="A329" s="31">
        <v>45975</v>
      </c>
      <c r="B329" s="26" t="s">
        <v>319</v>
      </c>
      <c r="C329" s="19">
        <v>4000</v>
      </c>
      <c r="D329" s="19" t="s">
        <v>311</v>
      </c>
      <c r="E329" s="21"/>
      <c r="F329" s="23" t="s">
        <v>329</v>
      </c>
      <c r="G329" s="29">
        <v>0</v>
      </c>
    </row>
    <row r="330" spans="1:7" ht="11.25" hidden="1" customHeight="1" x14ac:dyDescent="0.3">
      <c r="A330" s="31">
        <v>45978</v>
      </c>
      <c r="B330" s="26" t="s">
        <v>45</v>
      </c>
      <c r="C330" s="19">
        <v>500</v>
      </c>
      <c r="D330" s="19" t="s">
        <v>44</v>
      </c>
      <c r="E330" s="21"/>
      <c r="F330" s="23" t="s">
        <v>367</v>
      </c>
      <c r="G330" s="29">
        <v>0</v>
      </c>
    </row>
    <row r="331" spans="1:7" ht="11.25" hidden="1" customHeight="1" x14ac:dyDescent="0.3">
      <c r="A331" s="31">
        <v>45978</v>
      </c>
      <c r="B331" s="26" t="s">
        <v>314</v>
      </c>
      <c r="C331" s="19">
        <v>1000</v>
      </c>
      <c r="D331" s="19" t="s">
        <v>195</v>
      </c>
      <c r="E331" s="21"/>
      <c r="F331" s="23" t="s">
        <v>382</v>
      </c>
      <c r="G331" s="29">
        <v>0</v>
      </c>
    </row>
    <row r="332" spans="1:7" ht="11.25" hidden="1" customHeight="1" x14ac:dyDescent="0.3">
      <c r="A332" s="31">
        <v>45978</v>
      </c>
      <c r="B332" s="26" t="s">
        <v>223</v>
      </c>
      <c r="C332" s="19">
        <v>7000</v>
      </c>
      <c r="D332" s="19" t="s">
        <v>216</v>
      </c>
      <c r="E332" s="21"/>
      <c r="F332" s="23" t="s">
        <v>368</v>
      </c>
      <c r="G332" s="29">
        <v>0</v>
      </c>
    </row>
    <row r="333" spans="1:7" ht="11.25" hidden="1" customHeight="1" x14ac:dyDescent="0.3">
      <c r="A333" s="31">
        <v>45978</v>
      </c>
      <c r="B333" s="34" t="s">
        <v>320</v>
      </c>
      <c r="C333" s="35">
        <v>1000</v>
      </c>
      <c r="D333" s="35" t="s">
        <v>273</v>
      </c>
      <c r="E333" s="21"/>
      <c r="F333" s="23" t="s">
        <v>327</v>
      </c>
      <c r="G333" s="29">
        <v>0</v>
      </c>
    </row>
    <row r="334" spans="1:7" ht="11.25" hidden="1" customHeight="1" x14ac:dyDescent="0.3">
      <c r="A334" s="31">
        <v>45980</v>
      </c>
      <c r="B334" s="26" t="s">
        <v>12</v>
      </c>
      <c r="C334" s="19">
        <v>1000</v>
      </c>
      <c r="D334" s="19" t="s">
        <v>195</v>
      </c>
      <c r="E334" s="21"/>
      <c r="F334" s="23" t="s">
        <v>382</v>
      </c>
      <c r="G334" s="29">
        <v>0</v>
      </c>
    </row>
    <row r="335" spans="1:7" ht="11.25" hidden="1" customHeight="1" x14ac:dyDescent="0.3">
      <c r="A335" s="31">
        <v>45980</v>
      </c>
      <c r="B335" s="26" t="s">
        <v>314</v>
      </c>
      <c r="C335" s="19">
        <v>1500</v>
      </c>
      <c r="D335" s="19" t="s">
        <v>195</v>
      </c>
      <c r="E335" s="21"/>
      <c r="F335" s="23" t="s">
        <v>382</v>
      </c>
      <c r="G335" s="29">
        <v>0</v>
      </c>
    </row>
    <row r="336" spans="1:7" ht="11.25" hidden="1" customHeight="1" x14ac:dyDescent="0.3">
      <c r="A336" s="31">
        <v>45980</v>
      </c>
      <c r="B336" s="26" t="s">
        <v>132</v>
      </c>
      <c r="C336" s="19">
        <v>4000</v>
      </c>
      <c r="D336" s="19" t="s">
        <v>195</v>
      </c>
      <c r="E336" s="21"/>
      <c r="F336" s="23" t="s">
        <v>382</v>
      </c>
      <c r="G336" s="29">
        <v>0</v>
      </c>
    </row>
    <row r="337" spans="1:7" ht="11.25" hidden="1" customHeight="1" x14ac:dyDescent="0.3">
      <c r="A337" s="31">
        <v>45980</v>
      </c>
      <c r="B337" s="26" t="s">
        <v>272</v>
      </c>
      <c r="C337" s="19">
        <v>3000</v>
      </c>
      <c r="D337" s="19" t="s">
        <v>176</v>
      </c>
      <c r="E337" s="21"/>
      <c r="F337" s="23" t="s">
        <v>348</v>
      </c>
      <c r="G337" s="29">
        <v>0</v>
      </c>
    </row>
    <row r="338" spans="1:7" ht="11.25" hidden="1" customHeight="1" x14ac:dyDescent="0.3">
      <c r="A338" s="31">
        <v>45980</v>
      </c>
      <c r="B338" s="26" t="s">
        <v>322</v>
      </c>
      <c r="C338" s="19">
        <v>4000</v>
      </c>
      <c r="D338" s="19" t="s">
        <v>203</v>
      </c>
      <c r="E338" s="21"/>
      <c r="F338" s="23" t="s">
        <v>367</v>
      </c>
      <c r="G338" s="29">
        <v>0</v>
      </c>
    </row>
    <row r="339" spans="1:7" ht="11.25" hidden="1" customHeight="1" x14ac:dyDescent="0.3">
      <c r="A339" s="31">
        <v>45980</v>
      </c>
      <c r="B339" s="26" t="s">
        <v>323</v>
      </c>
      <c r="C339" s="19">
        <v>2000</v>
      </c>
      <c r="D339" s="19" t="s">
        <v>203</v>
      </c>
      <c r="E339" s="21"/>
      <c r="F339" s="23" t="s">
        <v>367</v>
      </c>
      <c r="G339" s="29">
        <v>0</v>
      </c>
    </row>
    <row r="340" spans="1:7" ht="11.25" hidden="1" customHeight="1" x14ac:dyDescent="0.3">
      <c r="A340" s="31">
        <v>45980</v>
      </c>
      <c r="B340" s="26" t="s">
        <v>180</v>
      </c>
      <c r="C340" s="19">
        <v>500</v>
      </c>
      <c r="D340" s="19" t="s">
        <v>150</v>
      </c>
      <c r="E340" s="21"/>
      <c r="F340" s="23" t="s">
        <v>303</v>
      </c>
      <c r="G340" s="29">
        <v>0</v>
      </c>
    </row>
    <row r="341" spans="1:7" ht="11.25" hidden="1" customHeight="1" x14ac:dyDescent="0.3">
      <c r="A341" s="31">
        <v>45980</v>
      </c>
      <c r="B341" s="26" t="s">
        <v>320</v>
      </c>
      <c r="C341" s="19">
        <v>500</v>
      </c>
      <c r="D341" s="19" t="s">
        <v>273</v>
      </c>
      <c r="E341" s="21"/>
      <c r="F341" s="23" t="s">
        <v>327</v>
      </c>
      <c r="G341" s="29">
        <v>0</v>
      </c>
    </row>
    <row r="342" spans="1:7" ht="11.25" hidden="1" customHeight="1" x14ac:dyDescent="0.3">
      <c r="A342" s="31">
        <v>45980</v>
      </c>
      <c r="B342" s="26" t="s">
        <v>326</v>
      </c>
      <c r="C342" s="19">
        <v>1000</v>
      </c>
      <c r="D342" s="19" t="s">
        <v>273</v>
      </c>
      <c r="E342" s="21"/>
      <c r="F342" s="23" t="s">
        <v>327</v>
      </c>
      <c r="G342" s="29">
        <v>0</v>
      </c>
    </row>
    <row r="343" spans="1:7" ht="11.25" hidden="1" customHeight="1" x14ac:dyDescent="0.3">
      <c r="A343" s="31">
        <v>45980</v>
      </c>
      <c r="B343" s="26" t="s">
        <v>53</v>
      </c>
      <c r="C343" s="19">
        <v>800</v>
      </c>
      <c r="D343" s="19" t="s">
        <v>136</v>
      </c>
      <c r="E343" s="21"/>
      <c r="F343" s="23" t="s">
        <v>510</v>
      </c>
      <c r="G343" s="29">
        <v>0</v>
      </c>
    </row>
    <row r="344" spans="1:7" ht="11.25" hidden="1" customHeight="1" x14ac:dyDescent="0.3">
      <c r="A344" s="27">
        <v>45980</v>
      </c>
      <c r="B344" s="26" t="s">
        <v>45</v>
      </c>
      <c r="C344" s="19">
        <v>200</v>
      </c>
      <c r="D344" s="19" t="s">
        <v>44</v>
      </c>
      <c r="E344" s="21"/>
      <c r="F344" s="23" t="s">
        <v>367</v>
      </c>
      <c r="G344" s="29">
        <v>0</v>
      </c>
    </row>
    <row r="345" spans="1:7" ht="11.25" hidden="1" customHeight="1" x14ac:dyDescent="0.3">
      <c r="A345" s="27">
        <v>45981</v>
      </c>
      <c r="B345" s="26" t="s">
        <v>45</v>
      </c>
      <c r="C345" s="19">
        <v>1200</v>
      </c>
      <c r="D345" s="19" t="s">
        <v>44</v>
      </c>
      <c r="E345" s="21"/>
      <c r="F345" s="23" t="s">
        <v>367</v>
      </c>
      <c r="G345" s="29">
        <v>0</v>
      </c>
    </row>
    <row r="346" spans="1:7" ht="11.25" hidden="1" customHeight="1" x14ac:dyDescent="0.3">
      <c r="A346" s="31">
        <v>45985</v>
      </c>
      <c r="B346" s="26" t="s">
        <v>31</v>
      </c>
      <c r="C346" s="19">
        <v>1500</v>
      </c>
      <c r="D346" s="19" t="s">
        <v>44</v>
      </c>
      <c r="E346" s="21"/>
      <c r="F346" s="23" t="s">
        <v>367</v>
      </c>
      <c r="G346" s="29">
        <v>0</v>
      </c>
    </row>
    <row r="347" spans="1:7" ht="11.25" hidden="1" customHeight="1" x14ac:dyDescent="0.3">
      <c r="A347" s="31">
        <v>45985</v>
      </c>
      <c r="B347" s="26" t="s">
        <v>233</v>
      </c>
      <c r="C347" s="19">
        <v>2500</v>
      </c>
      <c r="D347" s="19" t="s">
        <v>330</v>
      </c>
      <c r="E347" s="21"/>
      <c r="F347" s="23" t="s">
        <v>369</v>
      </c>
      <c r="G347" s="29">
        <v>0</v>
      </c>
    </row>
    <row r="348" spans="1:7" ht="11.25" hidden="1" customHeight="1" x14ac:dyDescent="0.3">
      <c r="A348" s="31">
        <v>45987</v>
      </c>
      <c r="B348" s="26" t="s">
        <v>331</v>
      </c>
      <c r="C348" s="35">
        <v>3500</v>
      </c>
      <c r="D348" s="19" t="s">
        <v>130</v>
      </c>
      <c r="E348" s="21"/>
      <c r="F348" s="23" t="s">
        <v>375</v>
      </c>
      <c r="G348" s="29">
        <v>0</v>
      </c>
    </row>
    <row r="349" spans="1:7" ht="11.25" hidden="1" customHeight="1" x14ac:dyDescent="0.3">
      <c r="A349" s="31">
        <v>45987</v>
      </c>
      <c r="B349" s="26" t="s">
        <v>8</v>
      </c>
      <c r="C349" s="35">
        <v>2000</v>
      </c>
      <c r="D349" s="19" t="s">
        <v>156</v>
      </c>
      <c r="E349" s="21"/>
      <c r="F349" s="23" t="s">
        <v>376</v>
      </c>
      <c r="G349" s="29">
        <v>0</v>
      </c>
    </row>
    <row r="350" spans="1:7" ht="11.25" hidden="1" customHeight="1" x14ac:dyDescent="0.3">
      <c r="A350" s="31">
        <v>45987</v>
      </c>
      <c r="B350" s="26" t="s">
        <v>184</v>
      </c>
      <c r="C350" s="35">
        <v>1000</v>
      </c>
      <c r="D350" s="19" t="s">
        <v>156</v>
      </c>
      <c r="E350" s="21"/>
      <c r="F350" s="23" t="s">
        <v>376</v>
      </c>
      <c r="G350" s="29">
        <v>0</v>
      </c>
    </row>
    <row r="351" spans="1:7" ht="11.25" hidden="1" customHeight="1" x14ac:dyDescent="0.3">
      <c r="A351" s="31">
        <v>45987</v>
      </c>
      <c r="B351" s="26" t="s">
        <v>184</v>
      </c>
      <c r="C351" s="35">
        <v>500</v>
      </c>
      <c r="D351" s="19" t="s">
        <v>156</v>
      </c>
      <c r="E351" s="21"/>
      <c r="F351" s="23" t="s">
        <v>376</v>
      </c>
      <c r="G351" s="29">
        <v>0</v>
      </c>
    </row>
    <row r="352" spans="1:7" ht="11.25" hidden="1" customHeight="1" x14ac:dyDescent="0.3">
      <c r="A352" s="31">
        <v>45987</v>
      </c>
      <c r="B352" s="26" t="s">
        <v>63</v>
      </c>
      <c r="C352" s="35">
        <v>3000</v>
      </c>
      <c r="D352" s="19" t="s">
        <v>156</v>
      </c>
      <c r="E352" s="21"/>
      <c r="F352" s="23" t="s">
        <v>376</v>
      </c>
      <c r="G352" s="29">
        <v>0</v>
      </c>
    </row>
    <row r="353" spans="1:10" ht="11.25" hidden="1" customHeight="1" x14ac:dyDescent="0.3">
      <c r="A353" s="31">
        <v>45987</v>
      </c>
      <c r="B353" s="26" t="s">
        <v>272</v>
      </c>
      <c r="C353" s="19">
        <v>3000</v>
      </c>
      <c r="D353" s="19" t="s">
        <v>176</v>
      </c>
      <c r="E353" s="21"/>
      <c r="F353" s="23" t="s">
        <v>348</v>
      </c>
      <c r="G353" s="29">
        <v>0</v>
      </c>
    </row>
    <row r="354" spans="1:10" ht="11.25" hidden="1" customHeight="1" x14ac:dyDescent="0.3">
      <c r="A354" s="31">
        <v>45988</v>
      </c>
      <c r="B354" s="26" t="s">
        <v>337</v>
      </c>
      <c r="C354" s="19">
        <v>500</v>
      </c>
      <c r="D354" s="19" t="s">
        <v>273</v>
      </c>
      <c r="E354" s="21"/>
      <c r="F354" s="23" t="s">
        <v>365</v>
      </c>
      <c r="G354" s="29">
        <v>0</v>
      </c>
    </row>
    <row r="355" spans="1:10" ht="11.25" hidden="1" customHeight="1" x14ac:dyDescent="0.3">
      <c r="A355" s="31">
        <v>45988</v>
      </c>
      <c r="B355" s="26" t="s">
        <v>336</v>
      </c>
      <c r="C355" s="19">
        <v>1000</v>
      </c>
      <c r="D355" s="19" t="s">
        <v>273</v>
      </c>
      <c r="E355" s="21"/>
      <c r="F355" s="23" t="s">
        <v>365</v>
      </c>
      <c r="G355" s="29">
        <v>0</v>
      </c>
      <c r="J355" t="s">
        <v>250</v>
      </c>
    </row>
    <row r="356" spans="1:10" ht="11.25" hidden="1" customHeight="1" x14ac:dyDescent="0.3">
      <c r="A356" s="31">
        <v>45988</v>
      </c>
      <c r="B356" s="34" t="s">
        <v>45</v>
      </c>
      <c r="C356" s="35">
        <v>1000</v>
      </c>
      <c r="D356" s="35" t="s">
        <v>44</v>
      </c>
      <c r="E356" s="36"/>
      <c r="F356" s="23" t="s">
        <v>367</v>
      </c>
      <c r="G356" s="38">
        <v>0</v>
      </c>
    </row>
    <row r="357" spans="1:10" ht="11.25" hidden="1" customHeight="1" x14ac:dyDescent="0.3">
      <c r="A357" s="31">
        <v>45989</v>
      </c>
      <c r="B357" s="34" t="s">
        <v>338</v>
      </c>
      <c r="C357" s="35">
        <v>45000</v>
      </c>
      <c r="D357" s="35" t="s">
        <v>118</v>
      </c>
      <c r="E357" s="36"/>
      <c r="F357" s="37" t="s">
        <v>389</v>
      </c>
      <c r="G357" s="38">
        <v>0</v>
      </c>
    </row>
    <row r="358" spans="1:10" ht="11.25" hidden="1" customHeight="1" x14ac:dyDescent="0.3">
      <c r="A358" s="31">
        <v>45989</v>
      </c>
      <c r="B358" s="34" t="s">
        <v>314</v>
      </c>
      <c r="C358" s="35">
        <v>1500</v>
      </c>
      <c r="D358" s="35" t="s">
        <v>195</v>
      </c>
      <c r="E358" s="36"/>
      <c r="F358" s="23" t="s">
        <v>382</v>
      </c>
      <c r="G358" s="38">
        <v>0</v>
      </c>
    </row>
    <row r="359" spans="1:10" ht="11.25" hidden="1" customHeight="1" x14ac:dyDescent="0.3">
      <c r="A359" s="31">
        <v>45994</v>
      </c>
      <c r="B359" s="34" t="s">
        <v>224</v>
      </c>
      <c r="C359" s="35">
        <v>500</v>
      </c>
      <c r="D359" s="35" t="s">
        <v>54</v>
      </c>
      <c r="E359" s="36"/>
      <c r="F359" s="37" t="s">
        <v>489</v>
      </c>
      <c r="G359" s="38">
        <v>0</v>
      </c>
    </row>
    <row r="360" spans="1:10" ht="11.25" hidden="1" customHeight="1" x14ac:dyDescent="0.3">
      <c r="A360" s="31">
        <v>45994</v>
      </c>
      <c r="B360" s="34" t="s">
        <v>45</v>
      </c>
      <c r="C360" s="35">
        <v>500</v>
      </c>
      <c r="D360" s="35" t="s">
        <v>44</v>
      </c>
      <c r="E360" s="36"/>
      <c r="F360" s="23" t="s">
        <v>367</v>
      </c>
      <c r="G360" s="38">
        <v>0</v>
      </c>
    </row>
    <row r="361" spans="1:10" ht="11.25" hidden="1" customHeight="1" x14ac:dyDescent="0.3">
      <c r="A361" s="31">
        <v>45994</v>
      </c>
      <c r="B361" s="34" t="s">
        <v>339</v>
      </c>
      <c r="C361" s="35">
        <v>500</v>
      </c>
      <c r="D361" s="35" t="s">
        <v>285</v>
      </c>
      <c r="E361" s="36"/>
      <c r="F361" s="23" t="s">
        <v>352</v>
      </c>
      <c r="G361" s="38">
        <v>0</v>
      </c>
    </row>
    <row r="362" spans="1:10" ht="11.25" hidden="1" customHeight="1" x14ac:dyDescent="0.3">
      <c r="A362" s="31">
        <v>45995</v>
      </c>
      <c r="B362" s="34" t="s">
        <v>340</v>
      </c>
      <c r="C362" s="35">
        <v>1500</v>
      </c>
      <c r="D362" s="35" t="s">
        <v>156</v>
      </c>
      <c r="E362" s="36"/>
      <c r="F362" s="23" t="s">
        <v>376</v>
      </c>
      <c r="G362" s="38">
        <v>0</v>
      </c>
    </row>
    <row r="363" spans="1:10" ht="11.25" hidden="1" customHeight="1" x14ac:dyDescent="0.3">
      <c r="A363" s="31">
        <v>45999</v>
      </c>
      <c r="B363" s="34" t="s">
        <v>308</v>
      </c>
      <c r="C363" s="35">
        <v>500</v>
      </c>
      <c r="D363" s="35" t="s">
        <v>273</v>
      </c>
      <c r="E363" s="36"/>
      <c r="F363" s="23" t="s">
        <v>365</v>
      </c>
      <c r="G363" s="38">
        <v>0</v>
      </c>
    </row>
    <row r="364" spans="1:10" ht="11.25" hidden="1" customHeight="1" x14ac:dyDescent="0.3">
      <c r="A364" s="31">
        <v>45999</v>
      </c>
      <c r="B364" s="34" t="s">
        <v>45</v>
      </c>
      <c r="C364" s="35">
        <v>800</v>
      </c>
      <c r="D364" s="35" t="s">
        <v>44</v>
      </c>
      <c r="E364" s="36"/>
      <c r="F364" s="23" t="s">
        <v>367</v>
      </c>
      <c r="G364" s="38">
        <v>0</v>
      </c>
    </row>
    <row r="365" spans="1:10" ht="11.25" hidden="1" customHeight="1" x14ac:dyDescent="0.3">
      <c r="A365" s="31">
        <v>46000</v>
      </c>
      <c r="B365" s="34" t="s">
        <v>341</v>
      </c>
      <c r="C365" s="35">
        <v>5200</v>
      </c>
      <c r="D365" s="35" t="s">
        <v>285</v>
      </c>
      <c r="E365" s="36"/>
      <c r="F365" s="23" t="s">
        <v>352</v>
      </c>
      <c r="G365" s="35">
        <v>0</v>
      </c>
    </row>
    <row r="366" spans="1:10" ht="11.25" hidden="1" customHeight="1" x14ac:dyDescent="0.3">
      <c r="A366" s="31">
        <v>46000</v>
      </c>
      <c r="B366" s="34" t="s">
        <v>341</v>
      </c>
      <c r="C366" s="35">
        <v>2500</v>
      </c>
      <c r="D366" s="35" t="s">
        <v>285</v>
      </c>
      <c r="E366" s="36"/>
      <c r="F366" s="23" t="s">
        <v>352</v>
      </c>
      <c r="G366" s="35">
        <v>0</v>
      </c>
    </row>
    <row r="367" spans="1:10" ht="11.25" hidden="1" customHeight="1" x14ac:dyDescent="0.3">
      <c r="A367" s="31">
        <v>46000</v>
      </c>
      <c r="B367" s="34" t="s">
        <v>341</v>
      </c>
      <c r="C367" s="35">
        <v>1000</v>
      </c>
      <c r="D367" s="35" t="s">
        <v>285</v>
      </c>
      <c r="E367" s="36"/>
      <c r="F367" s="23" t="s">
        <v>352</v>
      </c>
      <c r="G367" s="35">
        <v>0</v>
      </c>
    </row>
    <row r="368" spans="1:10" ht="11.25" hidden="1" customHeight="1" x14ac:dyDescent="0.3">
      <c r="A368" s="31">
        <v>46000</v>
      </c>
      <c r="B368" s="34" t="s">
        <v>342</v>
      </c>
      <c r="C368" s="35">
        <v>1500</v>
      </c>
      <c r="D368" s="35" t="s">
        <v>285</v>
      </c>
      <c r="E368" s="36"/>
      <c r="F368" s="23" t="s">
        <v>352</v>
      </c>
      <c r="G368" s="35">
        <v>0</v>
      </c>
    </row>
    <row r="369" spans="1:7" ht="11.25" hidden="1" customHeight="1" x14ac:dyDescent="0.3">
      <c r="A369" s="31">
        <v>46000</v>
      </c>
      <c r="B369" s="34" t="s">
        <v>218</v>
      </c>
      <c r="C369" s="35">
        <v>1000</v>
      </c>
      <c r="D369" s="35" t="s">
        <v>285</v>
      </c>
      <c r="E369" s="36"/>
      <c r="F369" s="23" t="s">
        <v>352</v>
      </c>
      <c r="G369" s="35">
        <v>0</v>
      </c>
    </row>
    <row r="370" spans="1:7" ht="11.25" hidden="1" customHeight="1" x14ac:dyDescent="0.3">
      <c r="A370" s="31">
        <v>46000</v>
      </c>
      <c r="B370" s="34" t="s">
        <v>45</v>
      </c>
      <c r="C370" s="35">
        <v>1700</v>
      </c>
      <c r="D370" s="35" t="s">
        <v>44</v>
      </c>
      <c r="E370" s="36"/>
      <c r="F370" s="23" t="s">
        <v>367</v>
      </c>
      <c r="G370" s="38">
        <v>0</v>
      </c>
    </row>
    <row r="371" spans="1:7" ht="11.25" hidden="1" customHeight="1" x14ac:dyDescent="0.3">
      <c r="A371" s="31">
        <v>46001</v>
      </c>
      <c r="B371" s="34" t="s">
        <v>343</v>
      </c>
      <c r="C371" s="35">
        <v>250</v>
      </c>
      <c r="D371" s="35" t="s">
        <v>273</v>
      </c>
      <c r="E371" s="36"/>
      <c r="F371" s="23" t="s">
        <v>365</v>
      </c>
      <c r="G371" s="38">
        <v>0</v>
      </c>
    </row>
    <row r="372" spans="1:7" ht="11.25" hidden="1" customHeight="1" x14ac:dyDescent="0.3">
      <c r="A372" s="31">
        <v>46003</v>
      </c>
      <c r="B372" s="34" t="s">
        <v>233</v>
      </c>
      <c r="C372" s="35">
        <v>2500</v>
      </c>
      <c r="D372" s="35" t="s">
        <v>330</v>
      </c>
      <c r="E372" s="36"/>
      <c r="F372" s="23" t="s">
        <v>369</v>
      </c>
      <c r="G372" s="35">
        <v>0</v>
      </c>
    </row>
    <row r="373" spans="1:7" ht="11.25" hidden="1" customHeight="1" x14ac:dyDescent="0.3">
      <c r="A373" s="31">
        <v>46003</v>
      </c>
      <c r="B373" s="34" t="s">
        <v>71</v>
      </c>
      <c r="C373" s="35">
        <v>2500</v>
      </c>
      <c r="D373" s="35" t="s">
        <v>330</v>
      </c>
      <c r="E373" s="36"/>
      <c r="F373" s="23" t="s">
        <v>369</v>
      </c>
      <c r="G373" s="35">
        <v>0</v>
      </c>
    </row>
    <row r="374" spans="1:7" ht="11.25" hidden="1" customHeight="1" x14ac:dyDescent="0.3">
      <c r="A374" s="31">
        <v>46003</v>
      </c>
      <c r="B374" s="34" t="s">
        <v>344</v>
      </c>
      <c r="C374" s="35">
        <v>600</v>
      </c>
      <c r="D374" s="35" t="s">
        <v>44</v>
      </c>
      <c r="E374" s="36"/>
      <c r="F374" s="23" t="s">
        <v>367</v>
      </c>
      <c r="G374" s="38">
        <v>0</v>
      </c>
    </row>
    <row r="375" spans="1:7" ht="11.25" hidden="1" customHeight="1" x14ac:dyDescent="0.3">
      <c r="A375" s="31">
        <v>46003</v>
      </c>
      <c r="B375" s="34" t="s">
        <v>345</v>
      </c>
      <c r="C375" s="35">
        <v>300</v>
      </c>
      <c r="D375" s="35" t="s">
        <v>44</v>
      </c>
      <c r="E375" s="36"/>
      <c r="F375" s="23" t="s">
        <v>367</v>
      </c>
      <c r="G375" s="38">
        <v>0</v>
      </c>
    </row>
    <row r="376" spans="1:7" ht="11.25" hidden="1" customHeight="1" x14ac:dyDescent="0.3">
      <c r="A376" s="31">
        <v>46003</v>
      </c>
      <c r="B376" s="34" t="s">
        <v>346</v>
      </c>
      <c r="C376" s="35">
        <v>1000</v>
      </c>
      <c r="D376" s="35" t="s">
        <v>136</v>
      </c>
      <c r="E376" s="36"/>
      <c r="F376" s="23" t="s">
        <v>510</v>
      </c>
      <c r="G376" s="38">
        <v>0</v>
      </c>
    </row>
    <row r="377" spans="1:7" ht="11.25" hidden="1" customHeight="1" x14ac:dyDescent="0.3">
      <c r="A377" s="31">
        <v>46003</v>
      </c>
      <c r="B377" s="34" t="s">
        <v>347</v>
      </c>
      <c r="C377" s="35">
        <v>1000</v>
      </c>
      <c r="D377" s="35" t="s">
        <v>136</v>
      </c>
      <c r="E377" s="36"/>
      <c r="F377" s="23" t="s">
        <v>510</v>
      </c>
      <c r="G377" s="38">
        <v>0</v>
      </c>
    </row>
    <row r="378" spans="1:7" ht="11.25" hidden="1" customHeight="1" x14ac:dyDescent="0.3">
      <c r="A378" s="31">
        <v>46003</v>
      </c>
      <c r="B378" s="34" t="s">
        <v>173</v>
      </c>
      <c r="C378" s="35">
        <v>3000</v>
      </c>
      <c r="D378" s="35" t="s">
        <v>187</v>
      </c>
      <c r="E378" s="36"/>
      <c r="F378" s="37" t="s">
        <v>367</v>
      </c>
      <c r="G378" s="38">
        <v>0</v>
      </c>
    </row>
    <row r="379" spans="1:7" ht="11.25" hidden="1" customHeight="1" x14ac:dyDescent="0.3">
      <c r="A379" s="31">
        <v>46003</v>
      </c>
      <c r="B379" s="34" t="s">
        <v>45</v>
      </c>
      <c r="C379" s="35">
        <v>100</v>
      </c>
      <c r="D379" s="35" t="s">
        <v>44</v>
      </c>
      <c r="E379" s="36"/>
      <c r="F379" s="23" t="s">
        <v>367</v>
      </c>
      <c r="G379" s="38">
        <v>0</v>
      </c>
    </row>
    <row r="380" spans="1:7" ht="11.25" hidden="1" customHeight="1" x14ac:dyDescent="0.3">
      <c r="A380" s="31">
        <v>46003</v>
      </c>
      <c r="B380" s="34" t="s">
        <v>317</v>
      </c>
      <c r="C380" s="35">
        <v>17000</v>
      </c>
      <c r="D380" s="35" t="s">
        <v>176</v>
      </c>
      <c r="E380" s="36"/>
      <c r="F380" s="37" t="s">
        <v>348</v>
      </c>
      <c r="G380" s="38">
        <v>0</v>
      </c>
    </row>
    <row r="381" spans="1:7" ht="11.25" hidden="1" customHeight="1" x14ac:dyDescent="0.3">
      <c r="A381" s="31">
        <v>46008</v>
      </c>
      <c r="B381" s="34" t="s">
        <v>45</v>
      </c>
      <c r="C381" s="35">
        <v>300</v>
      </c>
      <c r="D381" s="35" t="s">
        <v>44</v>
      </c>
      <c r="E381" s="36"/>
      <c r="F381" s="23" t="s">
        <v>367</v>
      </c>
      <c r="G381" s="38">
        <v>0</v>
      </c>
    </row>
    <row r="382" spans="1:7" ht="11.25" customHeight="1" x14ac:dyDescent="0.3">
      <c r="A382" s="31">
        <v>46010</v>
      </c>
      <c r="B382" s="26" t="s">
        <v>190</v>
      </c>
      <c r="C382" s="35">
        <v>15000</v>
      </c>
      <c r="D382" s="19" t="s">
        <v>149</v>
      </c>
      <c r="E382" s="21"/>
      <c r="F382" s="23" t="s">
        <v>390</v>
      </c>
      <c r="G382" s="29">
        <v>0</v>
      </c>
    </row>
    <row r="383" spans="1:7" ht="11.25" hidden="1" customHeight="1" x14ac:dyDescent="0.3">
      <c r="A383" s="31">
        <v>46013</v>
      </c>
      <c r="B383" s="26" t="s">
        <v>349</v>
      </c>
      <c r="C383" s="19">
        <v>1000</v>
      </c>
      <c r="D383" s="19" t="s">
        <v>122</v>
      </c>
      <c r="E383" s="21"/>
      <c r="F383" s="23" t="s">
        <v>489</v>
      </c>
      <c r="G383" s="29">
        <v>0</v>
      </c>
    </row>
    <row r="384" spans="1:7" ht="11.25" hidden="1" customHeight="1" x14ac:dyDescent="0.3">
      <c r="A384" s="31">
        <v>46013</v>
      </c>
      <c r="B384" s="26" t="s">
        <v>350</v>
      </c>
      <c r="C384" s="19">
        <v>500</v>
      </c>
      <c r="D384" s="19" t="s">
        <v>122</v>
      </c>
      <c r="E384" s="21"/>
      <c r="F384" s="23" t="s">
        <v>489</v>
      </c>
      <c r="G384" s="29">
        <v>0</v>
      </c>
    </row>
    <row r="385" spans="1:7" ht="11.25" hidden="1" customHeight="1" x14ac:dyDescent="0.3">
      <c r="A385" s="31">
        <v>46013</v>
      </c>
      <c r="B385" s="26" t="s">
        <v>351</v>
      </c>
      <c r="C385" s="19">
        <v>3000</v>
      </c>
      <c r="D385" s="19" t="s">
        <v>285</v>
      </c>
      <c r="E385" s="21"/>
      <c r="F385" s="23" t="s">
        <v>352</v>
      </c>
      <c r="G385" s="29">
        <v>0</v>
      </c>
    </row>
    <row r="386" spans="1:7" ht="11.25" hidden="1" customHeight="1" x14ac:dyDescent="0.3">
      <c r="A386" s="31">
        <v>46013</v>
      </c>
      <c r="B386" s="26" t="s">
        <v>45</v>
      </c>
      <c r="C386" s="19">
        <v>100</v>
      </c>
      <c r="D386" s="19" t="s">
        <v>95</v>
      </c>
      <c r="E386" s="21"/>
      <c r="F386" s="23" t="s">
        <v>367</v>
      </c>
      <c r="G386" s="29">
        <v>0</v>
      </c>
    </row>
    <row r="387" spans="1:7" ht="11.25" hidden="1" customHeight="1" x14ac:dyDescent="0.3">
      <c r="A387" s="31">
        <v>46014</v>
      </c>
      <c r="B387" s="26" t="s">
        <v>218</v>
      </c>
      <c r="C387" s="35">
        <v>1500</v>
      </c>
      <c r="D387" s="19" t="s">
        <v>285</v>
      </c>
      <c r="E387" s="21"/>
      <c r="F387" s="23" t="s">
        <v>428</v>
      </c>
      <c r="G387" s="19">
        <v>0</v>
      </c>
    </row>
    <row r="388" spans="1:7" ht="11.25" hidden="1" customHeight="1" x14ac:dyDescent="0.3">
      <c r="A388" s="31">
        <v>46014</v>
      </c>
      <c r="B388" s="26" t="s">
        <v>353</v>
      </c>
      <c r="C388" s="35">
        <v>2000</v>
      </c>
      <c r="D388" s="19" t="s">
        <v>156</v>
      </c>
      <c r="E388" s="21"/>
      <c r="F388" s="23" t="s">
        <v>376</v>
      </c>
      <c r="G388" s="19">
        <v>0</v>
      </c>
    </row>
    <row r="389" spans="1:7" ht="11.25" hidden="1" customHeight="1" x14ac:dyDescent="0.3">
      <c r="A389" s="31">
        <v>46014</v>
      </c>
      <c r="B389" s="26" t="s">
        <v>354</v>
      </c>
      <c r="C389" s="35">
        <v>3500</v>
      </c>
      <c r="D389" s="19" t="s">
        <v>285</v>
      </c>
      <c r="E389" s="21"/>
      <c r="F389" s="23" t="s">
        <v>428</v>
      </c>
      <c r="G389" s="19">
        <v>0</v>
      </c>
    </row>
    <row r="390" spans="1:7" ht="11.25" hidden="1" customHeight="1" x14ac:dyDescent="0.3">
      <c r="A390" s="31">
        <v>46014</v>
      </c>
      <c r="B390" s="26" t="s">
        <v>355</v>
      </c>
      <c r="C390" s="35">
        <v>20000</v>
      </c>
      <c r="D390" s="19" t="s">
        <v>176</v>
      </c>
      <c r="E390" s="21"/>
      <c r="F390" s="23" t="s">
        <v>500</v>
      </c>
      <c r="G390" s="19">
        <v>0</v>
      </c>
    </row>
    <row r="391" spans="1:7" ht="11.25" hidden="1" customHeight="1" x14ac:dyDescent="0.3">
      <c r="A391" s="31">
        <v>46014</v>
      </c>
      <c r="B391" s="26" t="s">
        <v>283</v>
      </c>
      <c r="C391" s="35">
        <v>2000</v>
      </c>
      <c r="D391" s="19" t="s">
        <v>133</v>
      </c>
      <c r="E391" s="21"/>
      <c r="F391" s="23" t="s">
        <v>367</v>
      </c>
      <c r="G391" s="19">
        <v>0</v>
      </c>
    </row>
    <row r="392" spans="1:7" ht="11.25" hidden="1" customHeight="1" x14ac:dyDescent="0.3">
      <c r="A392" s="31">
        <v>46014</v>
      </c>
      <c r="B392" s="26" t="s">
        <v>356</v>
      </c>
      <c r="C392" s="35">
        <v>1000</v>
      </c>
      <c r="D392" s="19" t="s">
        <v>133</v>
      </c>
      <c r="E392" s="21"/>
      <c r="F392" s="23" t="s">
        <v>367</v>
      </c>
      <c r="G392" s="19">
        <v>0</v>
      </c>
    </row>
    <row r="393" spans="1:7" ht="11.25" hidden="1" customHeight="1" x14ac:dyDescent="0.3">
      <c r="A393" s="31">
        <v>46014</v>
      </c>
      <c r="B393" s="26" t="s">
        <v>360</v>
      </c>
      <c r="C393" s="35">
        <v>100</v>
      </c>
      <c r="D393" s="57" t="s">
        <v>447</v>
      </c>
      <c r="E393" s="21"/>
      <c r="F393" s="23" t="s">
        <v>448</v>
      </c>
      <c r="G393" s="19">
        <v>0</v>
      </c>
    </row>
    <row r="394" spans="1:7" ht="11.25" hidden="1" customHeight="1" x14ac:dyDescent="0.3">
      <c r="A394" s="53">
        <v>46015</v>
      </c>
      <c r="B394" s="26" t="s">
        <v>173</v>
      </c>
      <c r="C394" s="35">
        <v>6000</v>
      </c>
      <c r="D394" s="19" t="s">
        <v>187</v>
      </c>
      <c r="E394" s="21"/>
      <c r="F394" s="37" t="s">
        <v>367</v>
      </c>
      <c r="G394" s="19">
        <v>0</v>
      </c>
    </row>
    <row r="395" spans="1:7" ht="11.25" hidden="1" customHeight="1" x14ac:dyDescent="0.3">
      <c r="A395" s="53">
        <v>46015</v>
      </c>
      <c r="B395" s="26" t="s">
        <v>357</v>
      </c>
      <c r="C395" s="35">
        <v>1000</v>
      </c>
      <c r="D395" s="19" t="s">
        <v>285</v>
      </c>
      <c r="E395" s="21"/>
      <c r="F395" s="23" t="s">
        <v>428</v>
      </c>
      <c r="G395" s="35">
        <v>0</v>
      </c>
    </row>
    <row r="396" spans="1:7" ht="11.25" hidden="1" customHeight="1" x14ac:dyDescent="0.3">
      <c r="A396" s="53">
        <v>46015</v>
      </c>
      <c r="B396" s="26" t="s">
        <v>357</v>
      </c>
      <c r="C396" s="35">
        <v>2100</v>
      </c>
      <c r="D396" s="19" t="s">
        <v>285</v>
      </c>
      <c r="E396" s="21"/>
      <c r="F396" s="23" t="s">
        <v>428</v>
      </c>
      <c r="G396" s="35">
        <v>0</v>
      </c>
    </row>
    <row r="397" spans="1:7" ht="11.25" hidden="1" customHeight="1" x14ac:dyDescent="0.3">
      <c r="A397" s="53">
        <v>46015</v>
      </c>
      <c r="B397" s="26" t="s">
        <v>357</v>
      </c>
      <c r="C397" s="35">
        <v>2000</v>
      </c>
      <c r="D397" s="19" t="s">
        <v>285</v>
      </c>
      <c r="E397" s="21"/>
      <c r="F397" s="23" t="s">
        <v>428</v>
      </c>
      <c r="G397" s="35">
        <v>0</v>
      </c>
    </row>
    <row r="398" spans="1:7" ht="11.25" hidden="1" customHeight="1" x14ac:dyDescent="0.3">
      <c r="A398" s="53">
        <v>46015</v>
      </c>
      <c r="B398" s="26" t="s">
        <v>358</v>
      </c>
      <c r="C398" s="35">
        <v>2400</v>
      </c>
      <c r="D398" s="19" t="s">
        <v>285</v>
      </c>
      <c r="E398" s="21"/>
      <c r="F398" s="23" t="s">
        <v>428</v>
      </c>
      <c r="G398" s="35">
        <v>0</v>
      </c>
    </row>
    <row r="399" spans="1:7" ht="11.25" hidden="1" customHeight="1" x14ac:dyDescent="0.3">
      <c r="A399" s="54">
        <v>46015</v>
      </c>
      <c r="B399" s="34" t="s">
        <v>359</v>
      </c>
      <c r="C399" s="35">
        <v>500</v>
      </c>
      <c r="D399" s="19" t="s">
        <v>285</v>
      </c>
      <c r="E399" s="48"/>
      <c r="F399" s="23" t="s">
        <v>428</v>
      </c>
      <c r="G399" s="35">
        <v>0</v>
      </c>
    </row>
    <row r="400" spans="1:7" ht="11.25" hidden="1" customHeight="1" x14ac:dyDescent="0.3">
      <c r="A400" s="54">
        <v>46017</v>
      </c>
      <c r="B400" s="34" t="s">
        <v>225</v>
      </c>
      <c r="C400" s="35">
        <v>800</v>
      </c>
      <c r="D400" s="19" t="s">
        <v>136</v>
      </c>
      <c r="E400" s="21"/>
      <c r="F400" s="23" t="s">
        <v>510</v>
      </c>
      <c r="G400" s="19">
        <v>0</v>
      </c>
    </row>
    <row r="401" spans="1:8" ht="11.25" hidden="1" customHeight="1" x14ac:dyDescent="0.3">
      <c r="A401" s="54">
        <v>46017</v>
      </c>
      <c r="B401" s="34" t="s">
        <v>361</v>
      </c>
      <c r="C401" s="35">
        <v>500</v>
      </c>
      <c r="D401" s="19" t="s">
        <v>136</v>
      </c>
      <c r="E401" s="21"/>
      <c r="F401" s="23" t="s">
        <v>510</v>
      </c>
      <c r="G401" s="19">
        <v>0</v>
      </c>
    </row>
    <row r="402" spans="1:8" ht="11.25" hidden="1" customHeight="1" x14ac:dyDescent="0.3">
      <c r="A402" s="54">
        <v>46017</v>
      </c>
      <c r="B402" s="34" t="s">
        <v>362</v>
      </c>
      <c r="C402" s="35">
        <v>1000</v>
      </c>
      <c r="D402" s="57" t="s">
        <v>447</v>
      </c>
      <c r="E402" s="21"/>
      <c r="F402" s="23" t="s">
        <v>448</v>
      </c>
      <c r="G402" s="19">
        <v>0</v>
      </c>
    </row>
    <row r="403" spans="1:8" ht="11.25" hidden="1" customHeight="1" x14ac:dyDescent="0.3">
      <c r="A403" s="54">
        <v>46020</v>
      </c>
      <c r="B403" s="34" t="s">
        <v>363</v>
      </c>
      <c r="C403" s="35">
        <v>1000</v>
      </c>
      <c r="D403" s="57" t="s">
        <v>447</v>
      </c>
      <c r="E403" s="21"/>
      <c r="F403" s="23" t="s">
        <v>448</v>
      </c>
      <c r="G403" s="19">
        <v>0</v>
      </c>
    </row>
    <row r="404" spans="1:8" ht="11.25" hidden="1" customHeight="1" x14ac:dyDescent="0.3">
      <c r="A404" s="54">
        <v>46017</v>
      </c>
      <c r="B404" s="26" t="s">
        <v>45</v>
      </c>
      <c r="C404" s="35">
        <v>500</v>
      </c>
      <c r="D404" s="19" t="s">
        <v>44</v>
      </c>
      <c r="E404" s="21"/>
      <c r="F404" s="23" t="s">
        <v>367</v>
      </c>
      <c r="G404" s="19">
        <v>0</v>
      </c>
    </row>
    <row r="405" spans="1:8" ht="11.25" hidden="1" customHeight="1" x14ac:dyDescent="0.3">
      <c r="A405" s="54">
        <v>46020</v>
      </c>
      <c r="B405" s="26" t="s">
        <v>370</v>
      </c>
      <c r="C405" s="35">
        <v>500</v>
      </c>
      <c r="D405" s="57" t="s">
        <v>447</v>
      </c>
      <c r="E405" s="21"/>
      <c r="F405" s="23" t="s">
        <v>448</v>
      </c>
      <c r="G405" s="35">
        <v>0</v>
      </c>
    </row>
    <row r="406" spans="1:8" ht="11.25" hidden="1" customHeight="1" x14ac:dyDescent="0.3">
      <c r="A406" s="54">
        <v>46020</v>
      </c>
      <c r="B406" s="26" t="s">
        <v>370</v>
      </c>
      <c r="C406" s="35">
        <v>1000</v>
      </c>
      <c r="D406" s="57" t="s">
        <v>447</v>
      </c>
      <c r="E406" s="21"/>
      <c r="F406" s="23" t="s">
        <v>448</v>
      </c>
      <c r="G406" s="35">
        <v>0</v>
      </c>
    </row>
    <row r="407" spans="1:8" ht="11.25" hidden="1" customHeight="1" x14ac:dyDescent="0.3">
      <c r="A407" s="54">
        <v>46020</v>
      </c>
      <c r="B407" s="26" t="s">
        <v>371</v>
      </c>
      <c r="C407" s="35">
        <v>1500</v>
      </c>
      <c r="D407" s="19" t="s">
        <v>273</v>
      </c>
      <c r="E407" s="21"/>
      <c r="F407" s="23" t="s">
        <v>468</v>
      </c>
      <c r="G407" s="35">
        <v>0</v>
      </c>
    </row>
    <row r="408" spans="1:8" ht="11.25" hidden="1" customHeight="1" x14ac:dyDescent="0.3">
      <c r="A408" s="54">
        <v>46021</v>
      </c>
      <c r="B408" s="26" t="s">
        <v>356</v>
      </c>
      <c r="C408" s="35">
        <v>3000</v>
      </c>
      <c r="D408" s="19" t="s">
        <v>133</v>
      </c>
      <c r="E408" s="21"/>
      <c r="F408" s="23" t="s">
        <v>390</v>
      </c>
      <c r="G408" s="19">
        <v>0</v>
      </c>
    </row>
    <row r="409" spans="1:8" ht="11.25" hidden="1" customHeight="1" x14ac:dyDescent="0.3">
      <c r="A409" s="54">
        <v>46021</v>
      </c>
      <c r="B409" s="26" t="s">
        <v>45</v>
      </c>
      <c r="C409" s="35">
        <v>100</v>
      </c>
      <c r="D409" s="19" t="s">
        <v>95</v>
      </c>
      <c r="E409" s="21"/>
      <c r="F409" s="23" t="s">
        <v>390</v>
      </c>
      <c r="G409" s="19">
        <v>0</v>
      </c>
    </row>
    <row r="410" spans="1:8" ht="11.25" hidden="1" customHeight="1" x14ac:dyDescent="0.3">
      <c r="A410" s="54">
        <v>46021</v>
      </c>
      <c r="B410" s="26" t="s">
        <v>372</v>
      </c>
      <c r="C410" s="35">
        <v>500</v>
      </c>
      <c r="D410" s="19" t="s">
        <v>150</v>
      </c>
      <c r="E410" s="21"/>
      <c r="F410" s="23" t="s">
        <v>528</v>
      </c>
      <c r="G410" s="35">
        <v>0</v>
      </c>
      <c r="H410" s="55"/>
    </row>
    <row r="411" spans="1:8" ht="11.25" hidden="1" customHeight="1" x14ac:dyDescent="0.3">
      <c r="A411" s="54">
        <v>46022</v>
      </c>
      <c r="B411" s="26" t="s">
        <v>33</v>
      </c>
      <c r="C411" s="35">
        <v>1000</v>
      </c>
      <c r="D411" s="19" t="s">
        <v>273</v>
      </c>
      <c r="E411" s="21"/>
      <c r="F411" s="23" t="s">
        <v>468</v>
      </c>
      <c r="G411" s="35">
        <v>0</v>
      </c>
      <c r="H411" s="55"/>
    </row>
    <row r="412" spans="1:8" ht="11.25" hidden="1" customHeight="1" x14ac:dyDescent="0.3">
      <c r="A412" s="54">
        <v>46022</v>
      </c>
      <c r="B412" s="26" t="s">
        <v>269</v>
      </c>
      <c r="C412" s="35">
        <v>1000</v>
      </c>
      <c r="D412" s="19" t="s">
        <v>273</v>
      </c>
      <c r="E412" s="21"/>
      <c r="F412" s="23" t="s">
        <v>468</v>
      </c>
      <c r="G412" s="35">
        <v>0</v>
      </c>
      <c r="H412" s="55"/>
    </row>
    <row r="413" spans="1:8" ht="11.25" hidden="1" customHeight="1" x14ac:dyDescent="0.3">
      <c r="A413" s="54">
        <v>46022</v>
      </c>
      <c r="B413" s="26" t="s">
        <v>53</v>
      </c>
      <c r="C413" s="35">
        <v>1000</v>
      </c>
      <c r="D413" s="19" t="s">
        <v>117</v>
      </c>
      <c r="E413" s="21"/>
      <c r="F413" s="37" t="s">
        <v>489</v>
      </c>
      <c r="G413" s="35">
        <v>0</v>
      </c>
      <c r="H413" s="55"/>
    </row>
    <row r="414" spans="1:8" ht="11.25" hidden="1" customHeight="1" x14ac:dyDescent="0.3">
      <c r="A414" s="54">
        <v>46022</v>
      </c>
      <c r="B414" s="26" t="s">
        <v>357</v>
      </c>
      <c r="C414" s="35">
        <v>1500</v>
      </c>
      <c r="D414" s="19" t="s">
        <v>285</v>
      </c>
      <c r="E414" s="21"/>
      <c r="F414" s="23" t="s">
        <v>428</v>
      </c>
      <c r="G414" s="35">
        <v>0</v>
      </c>
      <c r="H414" s="55"/>
    </row>
    <row r="415" spans="1:8" ht="11.25" hidden="1" customHeight="1" x14ac:dyDescent="0.3">
      <c r="A415" s="54">
        <v>46022</v>
      </c>
      <c r="B415" s="26" t="s">
        <v>223</v>
      </c>
      <c r="C415" s="35">
        <v>10500</v>
      </c>
      <c r="D415" s="19" t="s">
        <v>374</v>
      </c>
      <c r="E415" s="21"/>
      <c r="F415" s="23" t="s">
        <v>392</v>
      </c>
      <c r="G415" s="35">
        <v>0</v>
      </c>
      <c r="H415" s="55"/>
    </row>
    <row r="416" spans="1:8" ht="11.25" hidden="1" customHeight="1" x14ac:dyDescent="0.3">
      <c r="A416" s="54">
        <v>46022</v>
      </c>
      <c r="B416" s="26" t="s">
        <v>373</v>
      </c>
      <c r="C416" s="35">
        <v>5600</v>
      </c>
      <c r="D416" s="19" t="s">
        <v>95</v>
      </c>
      <c r="E416" s="21"/>
      <c r="F416" s="23" t="s">
        <v>390</v>
      </c>
      <c r="G416" s="35">
        <v>0</v>
      </c>
      <c r="H416" s="55"/>
    </row>
    <row r="417" spans="1:7" ht="11.25" hidden="1" customHeight="1" x14ac:dyDescent="0.3">
      <c r="A417" s="54">
        <v>46022</v>
      </c>
      <c r="B417" s="26" t="s">
        <v>377</v>
      </c>
      <c r="C417" s="35">
        <v>1000</v>
      </c>
      <c r="D417" s="57" t="s">
        <v>447</v>
      </c>
      <c r="E417" s="21"/>
      <c r="F417" s="23" t="s">
        <v>448</v>
      </c>
      <c r="G417" s="35">
        <v>0</v>
      </c>
    </row>
    <row r="418" spans="1:7" ht="11.25" hidden="1" customHeight="1" x14ac:dyDescent="0.3">
      <c r="A418" s="54">
        <v>46022</v>
      </c>
      <c r="B418" s="26" t="s">
        <v>370</v>
      </c>
      <c r="C418" s="35">
        <v>100</v>
      </c>
      <c r="D418" s="57" t="s">
        <v>447</v>
      </c>
      <c r="E418" s="21"/>
      <c r="F418" s="23" t="s">
        <v>448</v>
      </c>
      <c r="G418" s="35">
        <v>0</v>
      </c>
    </row>
    <row r="419" spans="1:7" ht="11.25" hidden="1" customHeight="1" x14ac:dyDescent="0.3">
      <c r="A419" s="54">
        <v>46022</v>
      </c>
      <c r="B419" s="26" t="s">
        <v>378</v>
      </c>
      <c r="C419" s="35">
        <v>6000</v>
      </c>
      <c r="D419" s="57" t="s">
        <v>447</v>
      </c>
      <c r="E419" s="21"/>
      <c r="F419" s="23" t="s">
        <v>448</v>
      </c>
      <c r="G419" s="35">
        <v>0</v>
      </c>
    </row>
    <row r="420" spans="1:7" ht="11.25" hidden="1" customHeight="1" x14ac:dyDescent="0.3">
      <c r="A420" s="54">
        <v>46022</v>
      </c>
      <c r="B420" s="26" t="s">
        <v>379</v>
      </c>
      <c r="C420" s="35">
        <v>4000</v>
      </c>
      <c r="D420" s="57" t="s">
        <v>447</v>
      </c>
      <c r="E420" s="21"/>
      <c r="F420" s="23" t="s">
        <v>448</v>
      </c>
      <c r="G420" s="35">
        <v>0</v>
      </c>
    </row>
    <row r="421" spans="1:7" ht="11.25" hidden="1" customHeight="1" x14ac:dyDescent="0.3">
      <c r="A421" s="54">
        <v>46022</v>
      </c>
      <c r="B421" s="26" t="s">
        <v>380</v>
      </c>
      <c r="C421" s="35">
        <v>6000</v>
      </c>
      <c r="D421" s="19" t="s">
        <v>164</v>
      </c>
      <c r="E421" s="21"/>
      <c r="F421" s="37" t="s">
        <v>390</v>
      </c>
      <c r="G421" s="35">
        <v>0</v>
      </c>
    </row>
    <row r="422" spans="1:7" ht="11.25" hidden="1" customHeight="1" x14ac:dyDescent="0.3">
      <c r="A422" s="54">
        <v>46022</v>
      </c>
      <c r="B422" s="26" t="s">
        <v>381</v>
      </c>
      <c r="C422" s="35">
        <v>1500</v>
      </c>
      <c r="D422" s="19" t="s">
        <v>95</v>
      </c>
      <c r="E422" s="21"/>
      <c r="F422" s="23" t="s">
        <v>390</v>
      </c>
      <c r="G422" s="35">
        <v>0</v>
      </c>
    </row>
    <row r="423" spans="1:7" ht="11.25" customHeight="1" x14ac:dyDescent="0.3">
      <c r="A423" s="54">
        <v>46028</v>
      </c>
      <c r="B423" s="26" t="s">
        <v>190</v>
      </c>
      <c r="C423" s="35">
        <v>12000</v>
      </c>
      <c r="D423" s="19" t="s">
        <v>149</v>
      </c>
      <c r="E423" s="23" t="s">
        <v>477</v>
      </c>
      <c r="F423" s="23" t="s">
        <v>390</v>
      </c>
      <c r="G423" s="19">
        <v>0</v>
      </c>
    </row>
    <row r="424" spans="1:7" ht="11.25" hidden="1" customHeight="1" x14ac:dyDescent="0.3">
      <c r="A424" s="54">
        <v>46028</v>
      </c>
      <c r="B424" s="26" t="s">
        <v>190</v>
      </c>
      <c r="C424" s="35">
        <v>1500</v>
      </c>
      <c r="D424" s="19" t="s">
        <v>285</v>
      </c>
      <c r="E424" s="23" t="s">
        <v>477</v>
      </c>
      <c r="F424" s="23" t="s">
        <v>428</v>
      </c>
      <c r="G424" s="19">
        <v>0</v>
      </c>
    </row>
    <row r="425" spans="1:7" ht="11.25" hidden="1" customHeight="1" x14ac:dyDescent="0.3">
      <c r="A425" s="54">
        <v>46028</v>
      </c>
      <c r="B425" s="34" t="s">
        <v>357</v>
      </c>
      <c r="C425" s="35">
        <v>500</v>
      </c>
      <c r="D425" s="19" t="s">
        <v>285</v>
      </c>
      <c r="E425" s="23" t="s">
        <v>477</v>
      </c>
      <c r="F425" s="23" t="s">
        <v>428</v>
      </c>
      <c r="G425" s="19">
        <v>0</v>
      </c>
    </row>
    <row r="426" spans="1:7" ht="11.25" hidden="1" customHeight="1" x14ac:dyDescent="0.3">
      <c r="A426" s="54">
        <v>46034</v>
      </c>
      <c r="B426" s="34" t="s">
        <v>383</v>
      </c>
      <c r="C426" s="35">
        <v>2000</v>
      </c>
      <c r="D426" s="57" t="s">
        <v>447</v>
      </c>
      <c r="E426" s="37" t="s">
        <v>478</v>
      </c>
      <c r="F426" s="23" t="s">
        <v>448</v>
      </c>
      <c r="G426" s="35">
        <v>0</v>
      </c>
    </row>
    <row r="427" spans="1:7" ht="11.25" hidden="1" customHeight="1" x14ac:dyDescent="0.3">
      <c r="A427" s="54">
        <v>46034</v>
      </c>
      <c r="B427" s="34" t="s">
        <v>384</v>
      </c>
      <c r="C427" s="35">
        <v>2000</v>
      </c>
      <c r="D427" s="57" t="s">
        <v>447</v>
      </c>
      <c r="E427" s="37" t="s">
        <v>478</v>
      </c>
      <c r="F427" s="23" t="s">
        <v>448</v>
      </c>
      <c r="G427" s="35">
        <v>0</v>
      </c>
    </row>
    <row r="428" spans="1:7" ht="11.25" hidden="1" customHeight="1" x14ac:dyDescent="0.3">
      <c r="A428" s="54">
        <v>46034</v>
      </c>
      <c r="B428" s="34" t="s">
        <v>385</v>
      </c>
      <c r="C428" s="35">
        <v>1000</v>
      </c>
      <c r="D428" s="35" t="s">
        <v>387</v>
      </c>
      <c r="E428" s="37" t="s">
        <v>478</v>
      </c>
      <c r="F428" s="37" t="s">
        <v>491</v>
      </c>
      <c r="G428" s="35">
        <v>0</v>
      </c>
    </row>
    <row r="429" spans="1:7" ht="11.25" hidden="1" customHeight="1" x14ac:dyDescent="0.3">
      <c r="A429" s="54">
        <v>46034</v>
      </c>
      <c r="B429" s="34" t="s">
        <v>386</v>
      </c>
      <c r="C429" s="35">
        <v>200</v>
      </c>
      <c r="D429" s="35" t="s">
        <v>95</v>
      </c>
      <c r="E429" s="37" t="s">
        <v>478</v>
      </c>
      <c r="F429" s="23" t="s">
        <v>390</v>
      </c>
      <c r="G429" s="35">
        <v>0</v>
      </c>
    </row>
    <row r="430" spans="1:7" ht="11.25" hidden="1" customHeight="1" x14ac:dyDescent="0.3">
      <c r="A430" s="54">
        <v>46036</v>
      </c>
      <c r="B430" s="34" t="s">
        <v>393</v>
      </c>
      <c r="C430" s="35">
        <v>5000</v>
      </c>
      <c r="D430" s="35" t="s">
        <v>164</v>
      </c>
      <c r="E430" s="37" t="s">
        <v>477</v>
      </c>
      <c r="F430" s="37" t="s">
        <v>390</v>
      </c>
      <c r="G430" s="35">
        <v>0</v>
      </c>
    </row>
    <row r="431" spans="1:7" ht="11.25" hidden="1" customHeight="1" x14ac:dyDescent="0.3">
      <c r="A431" s="54">
        <v>46041</v>
      </c>
      <c r="B431" s="34" t="s">
        <v>223</v>
      </c>
      <c r="C431" s="35">
        <v>1000</v>
      </c>
      <c r="D431" s="35" t="s">
        <v>395</v>
      </c>
      <c r="E431" s="37" t="s">
        <v>478</v>
      </c>
      <c r="F431" s="37" t="s">
        <v>546</v>
      </c>
      <c r="G431" s="35">
        <v>0</v>
      </c>
    </row>
    <row r="432" spans="1:7" ht="11.25" hidden="1" customHeight="1" x14ac:dyDescent="0.3">
      <c r="A432" s="54">
        <v>46041</v>
      </c>
      <c r="B432" s="34" t="s">
        <v>396</v>
      </c>
      <c r="C432" s="35">
        <v>1000</v>
      </c>
      <c r="D432" s="57" t="s">
        <v>447</v>
      </c>
      <c r="E432" s="37" t="s">
        <v>478</v>
      </c>
      <c r="F432" s="23" t="s">
        <v>448</v>
      </c>
      <c r="G432" s="35">
        <v>0</v>
      </c>
    </row>
    <row r="433" spans="1:7" ht="11.25" hidden="1" customHeight="1" x14ac:dyDescent="0.3">
      <c r="A433" s="54">
        <v>46041</v>
      </c>
      <c r="B433" s="34" t="s">
        <v>397</v>
      </c>
      <c r="C433" s="35">
        <v>2000</v>
      </c>
      <c r="D433" s="35" t="s">
        <v>203</v>
      </c>
      <c r="E433" s="37" t="s">
        <v>478</v>
      </c>
      <c r="F433" s="37" t="s">
        <v>510</v>
      </c>
      <c r="G433" s="35">
        <v>0</v>
      </c>
    </row>
    <row r="434" spans="1:7" ht="11.25" hidden="1" customHeight="1" x14ac:dyDescent="0.3">
      <c r="A434" s="54">
        <v>46041</v>
      </c>
      <c r="B434" s="34" t="s">
        <v>398</v>
      </c>
      <c r="C434" s="35">
        <v>9000</v>
      </c>
      <c r="D434" s="35" t="s">
        <v>203</v>
      </c>
      <c r="E434" s="37" t="s">
        <v>478</v>
      </c>
      <c r="F434" s="37" t="s">
        <v>510</v>
      </c>
      <c r="G434" s="35">
        <v>0</v>
      </c>
    </row>
    <row r="435" spans="1:7" ht="11.25" hidden="1" customHeight="1" x14ac:dyDescent="0.3">
      <c r="A435" s="54">
        <v>46041</v>
      </c>
      <c r="B435" s="34" t="s">
        <v>12</v>
      </c>
      <c r="C435" s="35">
        <v>3000</v>
      </c>
      <c r="D435" s="35" t="s">
        <v>195</v>
      </c>
      <c r="E435" s="37" t="s">
        <v>478</v>
      </c>
      <c r="F435" s="37"/>
      <c r="G435" s="35">
        <v>3000</v>
      </c>
    </row>
    <row r="436" spans="1:7" ht="11.25" hidden="1" customHeight="1" x14ac:dyDescent="0.3">
      <c r="A436" s="54">
        <v>46041</v>
      </c>
      <c r="B436" s="34" t="s">
        <v>399</v>
      </c>
      <c r="C436" s="35">
        <v>3500</v>
      </c>
      <c r="D436" s="35" t="s">
        <v>150</v>
      </c>
      <c r="E436" s="37" t="s">
        <v>478</v>
      </c>
      <c r="F436" s="23" t="s">
        <v>528</v>
      </c>
      <c r="G436" s="35">
        <v>0</v>
      </c>
    </row>
    <row r="437" spans="1:7" ht="11.25" hidden="1" customHeight="1" x14ac:dyDescent="0.3">
      <c r="A437" s="54">
        <v>46041</v>
      </c>
      <c r="B437" s="34" t="s">
        <v>400</v>
      </c>
      <c r="C437" s="35">
        <v>3500</v>
      </c>
      <c r="D437" s="35" t="s">
        <v>150</v>
      </c>
      <c r="E437" s="37" t="s">
        <v>478</v>
      </c>
      <c r="F437" s="23" t="s">
        <v>528</v>
      </c>
      <c r="G437" s="35">
        <v>0</v>
      </c>
    </row>
    <row r="438" spans="1:7" ht="11.25" hidden="1" customHeight="1" x14ac:dyDescent="0.3">
      <c r="A438" s="54">
        <v>46041</v>
      </c>
      <c r="B438" s="34" t="s">
        <v>469</v>
      </c>
      <c r="C438" s="35">
        <v>200</v>
      </c>
      <c r="D438" s="35" t="s">
        <v>273</v>
      </c>
      <c r="E438" s="37" t="s">
        <v>478</v>
      </c>
      <c r="F438" s="23" t="s">
        <v>468</v>
      </c>
      <c r="G438" s="35">
        <v>0</v>
      </c>
    </row>
    <row r="439" spans="1:7" ht="11.25" hidden="1" customHeight="1" x14ac:dyDescent="0.3">
      <c r="A439" s="54">
        <v>46042</v>
      </c>
      <c r="B439" s="34" t="s">
        <v>401</v>
      </c>
      <c r="C439" s="35">
        <v>30000</v>
      </c>
      <c r="D439" s="35" t="s">
        <v>402</v>
      </c>
      <c r="E439" s="37" t="s">
        <v>477</v>
      </c>
      <c r="F439" s="37" t="s">
        <v>425</v>
      </c>
      <c r="G439" s="35">
        <v>0</v>
      </c>
    </row>
    <row r="440" spans="1:7" ht="11.25" hidden="1" customHeight="1" x14ac:dyDescent="0.3">
      <c r="A440" s="54">
        <v>46042</v>
      </c>
      <c r="B440" s="34" t="s">
        <v>403</v>
      </c>
      <c r="C440" s="35">
        <v>1000</v>
      </c>
      <c r="D440" s="35" t="s">
        <v>157</v>
      </c>
      <c r="E440" s="37" t="s">
        <v>477</v>
      </c>
      <c r="F440" s="37" t="s">
        <v>534</v>
      </c>
      <c r="G440" s="35">
        <v>0</v>
      </c>
    </row>
    <row r="441" spans="1:7" ht="11.25" hidden="1" customHeight="1" x14ac:dyDescent="0.3">
      <c r="A441" s="54">
        <v>46042</v>
      </c>
      <c r="B441" s="34" t="s">
        <v>363</v>
      </c>
      <c r="C441" s="35">
        <v>500</v>
      </c>
      <c r="D441" s="57" t="s">
        <v>447</v>
      </c>
      <c r="E441" s="37" t="s">
        <v>478</v>
      </c>
      <c r="F441" s="23" t="s">
        <v>448</v>
      </c>
      <c r="G441" s="35">
        <v>0</v>
      </c>
    </row>
    <row r="442" spans="1:7" ht="11.25" hidden="1" customHeight="1" x14ac:dyDescent="0.3">
      <c r="A442" s="54">
        <v>46042</v>
      </c>
      <c r="B442" s="34" t="s">
        <v>404</v>
      </c>
      <c r="C442" s="35">
        <v>300</v>
      </c>
      <c r="D442" s="35" t="s">
        <v>273</v>
      </c>
      <c r="E442" s="37" t="s">
        <v>478</v>
      </c>
      <c r="F442" s="23" t="s">
        <v>468</v>
      </c>
      <c r="G442" s="35">
        <v>0</v>
      </c>
    </row>
    <row r="443" spans="1:7" ht="11.25" hidden="1" customHeight="1" x14ac:dyDescent="0.3">
      <c r="A443" s="54">
        <v>46042</v>
      </c>
      <c r="B443" s="26" t="s">
        <v>373</v>
      </c>
      <c r="C443" s="35">
        <v>100</v>
      </c>
      <c r="D443" s="35" t="s">
        <v>44</v>
      </c>
      <c r="E443" s="37" t="s">
        <v>478</v>
      </c>
      <c r="F443" s="37" t="s">
        <v>475</v>
      </c>
      <c r="G443" s="35">
        <v>0</v>
      </c>
    </row>
    <row r="444" spans="1:7" ht="11.25" hidden="1" customHeight="1" x14ac:dyDescent="0.3">
      <c r="A444" s="54">
        <v>46042</v>
      </c>
      <c r="B444" s="34" t="s">
        <v>342</v>
      </c>
      <c r="C444" s="19">
        <v>1500</v>
      </c>
      <c r="D444" s="35" t="s">
        <v>285</v>
      </c>
      <c r="E444" s="37" t="s">
        <v>477</v>
      </c>
      <c r="F444" s="23" t="s">
        <v>428</v>
      </c>
      <c r="G444" s="35">
        <v>0</v>
      </c>
    </row>
    <row r="445" spans="1:7" ht="11.25" hidden="1" customHeight="1" x14ac:dyDescent="0.3">
      <c r="A445" s="54">
        <v>46042</v>
      </c>
      <c r="B445" s="34" t="s">
        <v>354</v>
      </c>
      <c r="C445" s="19">
        <v>4000</v>
      </c>
      <c r="D445" s="35" t="s">
        <v>164</v>
      </c>
      <c r="E445" s="37" t="s">
        <v>477</v>
      </c>
      <c r="F445" s="37" t="s">
        <v>412</v>
      </c>
      <c r="G445" s="35">
        <v>0</v>
      </c>
    </row>
    <row r="446" spans="1:7" ht="11.25" hidden="1" customHeight="1" x14ac:dyDescent="0.3">
      <c r="A446" s="54">
        <v>46042</v>
      </c>
      <c r="B446" s="34" t="s">
        <v>405</v>
      </c>
      <c r="C446" s="19">
        <v>6000</v>
      </c>
      <c r="D446" s="35" t="s">
        <v>164</v>
      </c>
      <c r="E446" s="37" t="s">
        <v>477</v>
      </c>
      <c r="F446" s="37" t="s">
        <v>412</v>
      </c>
      <c r="G446" s="35">
        <v>0</v>
      </c>
    </row>
    <row r="447" spans="1:7" ht="11.25" hidden="1" customHeight="1" x14ac:dyDescent="0.3">
      <c r="A447" s="54">
        <v>46042</v>
      </c>
      <c r="B447" s="34" t="s">
        <v>406</v>
      </c>
      <c r="C447" s="19">
        <v>2500</v>
      </c>
      <c r="D447" s="35" t="s">
        <v>164</v>
      </c>
      <c r="E447" s="37" t="s">
        <v>477</v>
      </c>
      <c r="F447" s="37" t="s">
        <v>412</v>
      </c>
      <c r="G447" s="35">
        <v>0</v>
      </c>
    </row>
    <row r="448" spans="1:7" ht="11.25" hidden="1" customHeight="1" x14ac:dyDescent="0.3">
      <c r="A448" s="54">
        <v>46042</v>
      </c>
      <c r="B448" s="34" t="s">
        <v>407</v>
      </c>
      <c r="C448" s="19">
        <v>1000</v>
      </c>
      <c r="D448" s="57" t="s">
        <v>447</v>
      </c>
      <c r="E448" s="37" t="s">
        <v>478</v>
      </c>
      <c r="F448" s="23" t="s">
        <v>448</v>
      </c>
      <c r="G448" s="35">
        <v>0</v>
      </c>
    </row>
    <row r="449" spans="1:7" ht="11.25" hidden="1" customHeight="1" x14ac:dyDescent="0.3">
      <c r="A449" s="54">
        <v>46042</v>
      </c>
      <c r="B449" s="34" t="s">
        <v>408</v>
      </c>
      <c r="C449" s="19">
        <v>3000</v>
      </c>
      <c r="D449" s="19" t="s">
        <v>122</v>
      </c>
      <c r="E449" s="37" t="s">
        <v>477</v>
      </c>
      <c r="F449" s="23" t="s">
        <v>489</v>
      </c>
      <c r="G449" s="35">
        <v>0</v>
      </c>
    </row>
    <row r="450" spans="1:7" ht="11.25" hidden="1" customHeight="1" x14ac:dyDescent="0.3">
      <c r="A450" s="54">
        <v>46042</v>
      </c>
      <c r="B450" s="34" t="s">
        <v>409</v>
      </c>
      <c r="C450" s="19">
        <v>1500</v>
      </c>
      <c r="D450" s="35" t="s">
        <v>285</v>
      </c>
      <c r="E450" s="37" t="s">
        <v>477</v>
      </c>
      <c r="F450" s="23" t="s">
        <v>428</v>
      </c>
      <c r="G450" s="35">
        <v>0</v>
      </c>
    </row>
    <row r="451" spans="1:7" ht="11.25" hidden="1" customHeight="1" x14ac:dyDescent="0.3">
      <c r="A451" s="54">
        <v>46042</v>
      </c>
      <c r="B451" s="34" t="s">
        <v>18</v>
      </c>
      <c r="C451" s="35">
        <v>300</v>
      </c>
      <c r="D451" s="35" t="s">
        <v>285</v>
      </c>
      <c r="E451" s="37" t="s">
        <v>477</v>
      </c>
      <c r="F451" s="23" t="s">
        <v>428</v>
      </c>
      <c r="G451" s="35">
        <v>0</v>
      </c>
    </row>
    <row r="452" spans="1:7" ht="11.25" hidden="1" customHeight="1" x14ac:dyDescent="0.3">
      <c r="A452" s="54">
        <v>46042</v>
      </c>
      <c r="B452" s="34" t="s">
        <v>411</v>
      </c>
      <c r="C452" s="35">
        <v>5000</v>
      </c>
      <c r="D452" s="35" t="s">
        <v>164</v>
      </c>
      <c r="E452" s="37" t="s">
        <v>477</v>
      </c>
      <c r="F452" s="37" t="s">
        <v>412</v>
      </c>
      <c r="G452" s="35">
        <v>0</v>
      </c>
    </row>
    <row r="453" spans="1:7" ht="11.25" hidden="1" customHeight="1" x14ac:dyDescent="0.3">
      <c r="A453" s="54">
        <v>46043</v>
      </c>
      <c r="B453" s="34" t="s">
        <v>413</v>
      </c>
      <c r="C453" s="35">
        <v>2000</v>
      </c>
      <c r="D453" s="57" t="s">
        <v>447</v>
      </c>
      <c r="E453" s="37" t="s">
        <v>478</v>
      </c>
      <c r="F453" s="23" t="s">
        <v>448</v>
      </c>
      <c r="G453" s="35">
        <v>0</v>
      </c>
    </row>
    <row r="454" spans="1:7" ht="11.25" hidden="1" customHeight="1" x14ac:dyDescent="0.3">
      <c r="A454" s="54">
        <v>46043</v>
      </c>
      <c r="B454" s="34" t="s">
        <v>363</v>
      </c>
      <c r="C454" s="35">
        <v>1100</v>
      </c>
      <c r="D454" s="57" t="s">
        <v>447</v>
      </c>
      <c r="E454" s="37" t="s">
        <v>478</v>
      </c>
      <c r="F454" s="23" t="s">
        <v>448</v>
      </c>
      <c r="G454" s="35">
        <v>0</v>
      </c>
    </row>
    <row r="455" spans="1:7" ht="11.25" hidden="1" customHeight="1" x14ac:dyDescent="0.3">
      <c r="A455" s="54">
        <v>46043</v>
      </c>
      <c r="B455" s="34" t="s">
        <v>414</v>
      </c>
      <c r="C455" s="35">
        <v>1500</v>
      </c>
      <c r="D455" s="35" t="s">
        <v>195</v>
      </c>
      <c r="E455" s="37" t="s">
        <v>478</v>
      </c>
      <c r="F455" s="37"/>
      <c r="G455" s="35">
        <v>1500</v>
      </c>
    </row>
    <row r="456" spans="1:7" ht="11.25" hidden="1" customHeight="1" x14ac:dyDescent="0.3">
      <c r="A456" s="54">
        <v>46043</v>
      </c>
      <c r="B456" s="34" t="s">
        <v>394</v>
      </c>
      <c r="C456" s="35">
        <v>3000</v>
      </c>
      <c r="D456" s="35" t="s">
        <v>295</v>
      </c>
      <c r="E456" s="37" t="s">
        <v>478</v>
      </c>
      <c r="F456" s="37"/>
      <c r="G456" s="35">
        <v>3000</v>
      </c>
    </row>
    <row r="457" spans="1:7" ht="11.25" hidden="1" customHeight="1" x14ac:dyDescent="0.3">
      <c r="A457" s="54">
        <v>46043</v>
      </c>
      <c r="B457" s="34" t="s">
        <v>31</v>
      </c>
      <c r="C457" s="35">
        <v>1500</v>
      </c>
      <c r="D457" s="35" t="s">
        <v>44</v>
      </c>
      <c r="E457" s="37" t="s">
        <v>478</v>
      </c>
      <c r="F457" s="37" t="s">
        <v>475</v>
      </c>
      <c r="G457" s="35">
        <v>0</v>
      </c>
    </row>
    <row r="458" spans="1:7" ht="11.25" hidden="1" customHeight="1" x14ac:dyDescent="0.3">
      <c r="A458" s="54">
        <v>46043</v>
      </c>
      <c r="B458" s="34" t="s">
        <v>48</v>
      </c>
      <c r="C458" s="35">
        <v>900</v>
      </c>
      <c r="D458" s="35" t="s">
        <v>273</v>
      </c>
      <c r="E458" s="37" t="s">
        <v>478</v>
      </c>
      <c r="F458" s="23" t="s">
        <v>468</v>
      </c>
      <c r="G458" s="35">
        <v>0</v>
      </c>
    </row>
    <row r="459" spans="1:7" ht="11.25" hidden="1" customHeight="1" x14ac:dyDescent="0.3">
      <c r="A459" s="31">
        <v>46044</v>
      </c>
      <c r="B459" s="34" t="s">
        <v>415</v>
      </c>
      <c r="C459" s="35">
        <v>1000</v>
      </c>
      <c r="D459" s="57" t="s">
        <v>447</v>
      </c>
      <c r="E459" s="37" t="s">
        <v>478</v>
      </c>
      <c r="F459" s="23" t="s">
        <v>448</v>
      </c>
      <c r="G459" s="35">
        <v>0</v>
      </c>
    </row>
    <row r="460" spans="1:7" ht="11.25" hidden="1" customHeight="1" x14ac:dyDescent="0.3">
      <c r="A460" s="31">
        <v>46044</v>
      </c>
      <c r="B460" s="34" t="s">
        <v>202</v>
      </c>
      <c r="C460" s="35">
        <v>4000</v>
      </c>
      <c r="D460" s="35" t="s">
        <v>203</v>
      </c>
      <c r="E460" s="37" t="s">
        <v>478</v>
      </c>
      <c r="F460" s="37" t="s">
        <v>510</v>
      </c>
      <c r="G460" s="35">
        <v>0</v>
      </c>
    </row>
    <row r="461" spans="1:7" ht="11.25" hidden="1" customHeight="1" x14ac:dyDescent="0.3">
      <c r="A461" s="31">
        <v>46044</v>
      </c>
      <c r="B461" s="34" t="s">
        <v>344</v>
      </c>
      <c r="C461" s="35">
        <v>400</v>
      </c>
      <c r="D461" s="57" t="s">
        <v>447</v>
      </c>
      <c r="E461" s="37" t="s">
        <v>478</v>
      </c>
      <c r="F461" s="23" t="s">
        <v>448</v>
      </c>
      <c r="G461" s="35">
        <v>0</v>
      </c>
    </row>
    <row r="462" spans="1:7" ht="11.25" hidden="1" customHeight="1" x14ac:dyDescent="0.3">
      <c r="A462" s="31">
        <v>46044</v>
      </c>
      <c r="B462" s="34" t="s">
        <v>56</v>
      </c>
      <c r="C462" s="35">
        <v>700</v>
      </c>
      <c r="D462" s="35" t="s">
        <v>44</v>
      </c>
      <c r="E462" s="37" t="s">
        <v>478</v>
      </c>
      <c r="F462" s="37" t="s">
        <v>475</v>
      </c>
      <c r="G462" s="35">
        <v>0</v>
      </c>
    </row>
    <row r="463" spans="1:7" ht="11.25" hidden="1" customHeight="1" x14ac:dyDescent="0.3">
      <c r="A463" s="31">
        <v>46045</v>
      </c>
      <c r="B463" s="34" t="s">
        <v>416</v>
      </c>
      <c r="C463" s="35">
        <v>9000</v>
      </c>
      <c r="D463" s="35" t="s">
        <v>133</v>
      </c>
      <c r="E463" s="37" t="s">
        <v>478</v>
      </c>
      <c r="F463" s="37" t="s">
        <v>475</v>
      </c>
      <c r="G463" s="35">
        <v>0</v>
      </c>
    </row>
    <row r="464" spans="1:7" ht="11.25" hidden="1" customHeight="1" x14ac:dyDescent="0.3">
      <c r="A464" s="31">
        <v>46045</v>
      </c>
      <c r="B464" s="34" t="s">
        <v>417</v>
      </c>
      <c r="C464" s="35">
        <v>2000</v>
      </c>
      <c r="D464" s="35" t="s">
        <v>133</v>
      </c>
      <c r="E464" s="37" t="s">
        <v>478</v>
      </c>
      <c r="F464" s="37" t="s">
        <v>475</v>
      </c>
      <c r="G464" s="35">
        <v>0</v>
      </c>
    </row>
    <row r="465" spans="1:7" ht="11.25" hidden="1" customHeight="1" x14ac:dyDescent="0.3">
      <c r="A465" s="31">
        <v>46045</v>
      </c>
      <c r="B465" s="34" t="s">
        <v>418</v>
      </c>
      <c r="C465" s="35">
        <v>2500</v>
      </c>
      <c r="D465" s="35" t="s">
        <v>330</v>
      </c>
      <c r="E465" s="37" t="s">
        <v>478</v>
      </c>
      <c r="F465" s="37" t="s">
        <v>475</v>
      </c>
      <c r="G465" s="35">
        <v>0</v>
      </c>
    </row>
    <row r="466" spans="1:7" ht="11.25" hidden="1" customHeight="1" x14ac:dyDescent="0.3">
      <c r="A466" s="31">
        <v>46045</v>
      </c>
      <c r="B466" s="34" t="s">
        <v>419</v>
      </c>
      <c r="C466" s="35">
        <v>2500</v>
      </c>
      <c r="D466" s="35" t="s">
        <v>273</v>
      </c>
      <c r="E466" s="37" t="s">
        <v>478</v>
      </c>
      <c r="F466" s="23" t="s">
        <v>468</v>
      </c>
      <c r="G466" s="35">
        <v>0</v>
      </c>
    </row>
    <row r="467" spans="1:7" ht="11.25" hidden="1" customHeight="1" x14ac:dyDescent="0.3">
      <c r="A467" s="31">
        <v>46045</v>
      </c>
      <c r="B467" s="34" t="s">
        <v>420</v>
      </c>
      <c r="C467" s="35">
        <v>200</v>
      </c>
      <c r="D467" s="35" t="s">
        <v>44</v>
      </c>
      <c r="E467" s="37" t="s">
        <v>478</v>
      </c>
      <c r="F467" s="37" t="s">
        <v>475</v>
      </c>
      <c r="G467" s="35">
        <v>0</v>
      </c>
    </row>
    <row r="468" spans="1:7" ht="11.25" hidden="1" customHeight="1" x14ac:dyDescent="0.3">
      <c r="A468" s="31">
        <v>46048</v>
      </c>
      <c r="B468" s="34" t="s">
        <v>360</v>
      </c>
      <c r="C468" s="35">
        <v>500</v>
      </c>
      <c r="D468" s="57" t="s">
        <v>447</v>
      </c>
      <c r="E468" s="37" t="s">
        <v>478</v>
      </c>
      <c r="F468" s="23" t="s">
        <v>448</v>
      </c>
      <c r="G468" s="35">
        <v>0</v>
      </c>
    </row>
    <row r="469" spans="1:7" ht="11.25" hidden="1" customHeight="1" x14ac:dyDescent="0.3">
      <c r="A469" s="31">
        <v>46048</v>
      </c>
      <c r="B469" s="34" t="s">
        <v>421</v>
      </c>
      <c r="C469" s="35">
        <v>250</v>
      </c>
      <c r="D469" s="35" t="s">
        <v>285</v>
      </c>
      <c r="E469" s="37" t="s">
        <v>477</v>
      </c>
      <c r="F469" s="23" t="s">
        <v>428</v>
      </c>
      <c r="G469" s="35">
        <v>0</v>
      </c>
    </row>
    <row r="470" spans="1:7" ht="11.25" hidden="1" customHeight="1" x14ac:dyDescent="0.3">
      <c r="A470" s="31">
        <v>46048</v>
      </c>
      <c r="B470" s="34" t="s">
        <v>423</v>
      </c>
      <c r="C470" s="35">
        <v>500</v>
      </c>
      <c r="D470" s="35" t="s">
        <v>30</v>
      </c>
      <c r="E470" s="37" t="s">
        <v>478</v>
      </c>
      <c r="F470" s="37" t="s">
        <v>474</v>
      </c>
      <c r="G470" s="35">
        <v>0</v>
      </c>
    </row>
    <row r="471" spans="1:7" ht="11.25" hidden="1" customHeight="1" x14ac:dyDescent="0.3">
      <c r="A471" s="31">
        <v>46048</v>
      </c>
      <c r="B471" s="34" t="s">
        <v>424</v>
      </c>
      <c r="C471" s="35">
        <v>500</v>
      </c>
      <c r="D471" s="35" t="s">
        <v>273</v>
      </c>
      <c r="E471" s="37" t="s">
        <v>478</v>
      </c>
      <c r="F471" s="23" t="s">
        <v>468</v>
      </c>
      <c r="G471" s="35">
        <v>0</v>
      </c>
    </row>
    <row r="472" spans="1:7" ht="11.25" hidden="1" customHeight="1" x14ac:dyDescent="0.3">
      <c r="A472" s="31">
        <v>46048</v>
      </c>
      <c r="B472" s="34" t="s">
        <v>424</v>
      </c>
      <c r="C472" s="35">
        <v>100</v>
      </c>
      <c r="D472" s="35" t="s">
        <v>273</v>
      </c>
      <c r="E472" s="37" t="s">
        <v>478</v>
      </c>
      <c r="F472" s="23" t="s">
        <v>468</v>
      </c>
      <c r="G472" s="35">
        <v>0</v>
      </c>
    </row>
    <row r="473" spans="1:7" ht="11.25" hidden="1" customHeight="1" x14ac:dyDescent="0.3">
      <c r="A473" s="31">
        <v>46049</v>
      </c>
      <c r="B473" s="34" t="s">
        <v>312</v>
      </c>
      <c r="C473" s="35">
        <v>6000</v>
      </c>
      <c r="D473" s="35" t="s">
        <v>176</v>
      </c>
      <c r="E473" s="37" t="s">
        <v>478</v>
      </c>
      <c r="F473" s="23" t="s">
        <v>500</v>
      </c>
      <c r="G473" s="35">
        <v>0</v>
      </c>
    </row>
    <row r="474" spans="1:7" ht="11.25" hidden="1" customHeight="1" x14ac:dyDescent="0.3">
      <c r="A474" s="31">
        <v>46049</v>
      </c>
      <c r="B474" s="34" t="s">
        <v>422</v>
      </c>
      <c r="C474" s="35">
        <v>400</v>
      </c>
      <c r="D474" s="35" t="s">
        <v>44</v>
      </c>
      <c r="E474" s="37" t="s">
        <v>478</v>
      </c>
      <c r="F474" s="37" t="s">
        <v>475</v>
      </c>
      <c r="G474" s="35">
        <v>0</v>
      </c>
    </row>
    <row r="475" spans="1:7" ht="11.25" hidden="1" customHeight="1" x14ac:dyDescent="0.3">
      <c r="A475" s="31">
        <v>46049</v>
      </c>
      <c r="B475" s="34" t="s">
        <v>360</v>
      </c>
      <c r="C475" s="35">
        <v>500</v>
      </c>
      <c r="D475" s="57" t="s">
        <v>447</v>
      </c>
      <c r="E475" s="37" t="s">
        <v>478</v>
      </c>
      <c r="F475" s="23" t="s">
        <v>448</v>
      </c>
      <c r="G475" s="35">
        <v>0</v>
      </c>
    </row>
    <row r="476" spans="1:7" ht="11.25" hidden="1" customHeight="1" x14ac:dyDescent="0.3">
      <c r="A476" s="31">
        <v>46049</v>
      </c>
      <c r="B476" s="34" t="s">
        <v>427</v>
      </c>
      <c r="C476" s="35">
        <v>2000</v>
      </c>
      <c r="D476" s="35" t="s">
        <v>164</v>
      </c>
      <c r="E476" s="37" t="s">
        <v>477</v>
      </c>
      <c r="F476" s="37" t="s">
        <v>456</v>
      </c>
      <c r="G476" s="35">
        <v>0</v>
      </c>
    </row>
    <row r="477" spans="1:7" ht="11.25" hidden="1" customHeight="1" x14ac:dyDescent="0.3">
      <c r="A477" s="31">
        <v>46049</v>
      </c>
      <c r="B477" s="34" t="s">
        <v>364</v>
      </c>
      <c r="C477" s="35">
        <v>1000</v>
      </c>
      <c r="D477" s="57" t="s">
        <v>447</v>
      </c>
      <c r="E477" s="37" t="s">
        <v>478</v>
      </c>
      <c r="F477" s="23" t="s">
        <v>448</v>
      </c>
      <c r="G477" s="35">
        <v>0</v>
      </c>
    </row>
    <row r="478" spans="1:7" ht="11.25" hidden="1" customHeight="1" x14ac:dyDescent="0.3">
      <c r="A478" s="31">
        <v>46049</v>
      </c>
      <c r="B478" s="34" t="s">
        <v>281</v>
      </c>
      <c r="C478" s="35">
        <v>1800</v>
      </c>
      <c r="D478" s="35" t="s">
        <v>156</v>
      </c>
      <c r="E478" s="37" t="s">
        <v>477</v>
      </c>
      <c r="F478" s="37"/>
      <c r="G478" s="35">
        <v>1800</v>
      </c>
    </row>
    <row r="479" spans="1:7" ht="11.25" hidden="1" customHeight="1" x14ac:dyDescent="0.3">
      <c r="A479" s="31">
        <v>46055</v>
      </c>
      <c r="B479" s="34" t="s">
        <v>429</v>
      </c>
      <c r="C479" s="35">
        <v>8000</v>
      </c>
      <c r="D479" s="35" t="s">
        <v>95</v>
      </c>
      <c r="E479" s="37" t="s">
        <v>478</v>
      </c>
      <c r="F479" s="37" t="s">
        <v>475</v>
      </c>
      <c r="G479" s="35">
        <v>0</v>
      </c>
    </row>
    <row r="480" spans="1:7" ht="11.25" hidden="1" customHeight="1" x14ac:dyDescent="0.3">
      <c r="A480" s="31">
        <v>46055</v>
      </c>
      <c r="B480" s="34" t="s">
        <v>430</v>
      </c>
      <c r="C480" s="35">
        <v>1000</v>
      </c>
      <c r="D480" s="35" t="s">
        <v>95</v>
      </c>
      <c r="E480" s="37" t="s">
        <v>478</v>
      </c>
      <c r="F480" s="37" t="s">
        <v>475</v>
      </c>
      <c r="G480" s="35">
        <v>0</v>
      </c>
    </row>
    <row r="481" spans="1:7" ht="11.25" hidden="1" customHeight="1" x14ac:dyDescent="0.3">
      <c r="A481" s="31">
        <v>46055</v>
      </c>
      <c r="B481" s="34" t="s">
        <v>431</v>
      </c>
      <c r="C481" s="35">
        <v>500</v>
      </c>
      <c r="D481" s="35" t="s">
        <v>95</v>
      </c>
      <c r="E481" s="37" t="s">
        <v>478</v>
      </c>
      <c r="F481" s="37" t="s">
        <v>475</v>
      </c>
      <c r="G481" s="35">
        <v>0</v>
      </c>
    </row>
    <row r="482" spans="1:7" ht="11.25" hidden="1" customHeight="1" x14ac:dyDescent="0.3">
      <c r="A482" s="31">
        <v>46055</v>
      </c>
      <c r="B482" s="34" t="s">
        <v>419</v>
      </c>
      <c r="C482" s="35">
        <v>2500</v>
      </c>
      <c r="D482" s="35" t="s">
        <v>273</v>
      </c>
      <c r="E482" s="37" t="s">
        <v>478</v>
      </c>
      <c r="F482" s="23" t="s">
        <v>468</v>
      </c>
      <c r="G482" s="35">
        <v>0</v>
      </c>
    </row>
    <row r="483" spans="1:7" ht="11.25" hidden="1" customHeight="1" x14ac:dyDescent="0.3">
      <c r="A483" s="31">
        <v>46055</v>
      </c>
      <c r="B483" s="34" t="s">
        <v>357</v>
      </c>
      <c r="C483" s="35">
        <v>1200</v>
      </c>
      <c r="D483" s="35" t="s">
        <v>285</v>
      </c>
      <c r="E483" s="37" t="s">
        <v>477</v>
      </c>
      <c r="F483" s="37" t="s">
        <v>502</v>
      </c>
      <c r="G483" s="35">
        <v>0</v>
      </c>
    </row>
    <row r="484" spans="1:7" ht="11.25" hidden="1" customHeight="1" x14ac:dyDescent="0.3">
      <c r="A484" s="31">
        <v>46055</v>
      </c>
      <c r="B484" s="34" t="s">
        <v>358</v>
      </c>
      <c r="C484" s="35">
        <v>600</v>
      </c>
      <c r="D484" s="35" t="s">
        <v>285</v>
      </c>
      <c r="E484" s="37" t="s">
        <v>477</v>
      </c>
      <c r="F484" s="37" t="s">
        <v>502</v>
      </c>
      <c r="G484" s="35">
        <v>0</v>
      </c>
    </row>
    <row r="485" spans="1:7" ht="11.25" hidden="1" customHeight="1" x14ac:dyDescent="0.3">
      <c r="A485" s="31">
        <v>46055</v>
      </c>
      <c r="B485" s="34" t="s">
        <v>53</v>
      </c>
      <c r="C485" s="35">
        <v>500</v>
      </c>
      <c r="D485" s="35" t="s">
        <v>117</v>
      </c>
      <c r="E485" s="37" t="s">
        <v>478</v>
      </c>
      <c r="F485" s="37" t="s">
        <v>489</v>
      </c>
      <c r="G485" s="35">
        <v>0</v>
      </c>
    </row>
    <row r="486" spans="1:7" ht="11.25" hidden="1" customHeight="1" x14ac:dyDescent="0.3">
      <c r="A486" s="31">
        <v>46055</v>
      </c>
      <c r="B486" s="34" t="s">
        <v>433</v>
      </c>
      <c r="C486" s="35">
        <v>1000</v>
      </c>
      <c r="D486" s="35" t="s">
        <v>273</v>
      </c>
      <c r="E486" s="37" t="s">
        <v>478</v>
      </c>
      <c r="F486" s="23" t="s">
        <v>468</v>
      </c>
      <c r="G486" s="35">
        <v>0</v>
      </c>
    </row>
    <row r="487" spans="1:7" ht="11.25" hidden="1" customHeight="1" x14ac:dyDescent="0.3">
      <c r="A487" s="31">
        <v>46055</v>
      </c>
      <c r="B487" s="34" t="s">
        <v>385</v>
      </c>
      <c r="C487" s="35">
        <v>500</v>
      </c>
      <c r="D487" s="35" t="s">
        <v>387</v>
      </c>
      <c r="E487" s="37" t="s">
        <v>478</v>
      </c>
      <c r="F487" s="37" t="s">
        <v>491</v>
      </c>
      <c r="G487" s="35">
        <v>0</v>
      </c>
    </row>
    <row r="488" spans="1:7" ht="11.25" customHeight="1" x14ac:dyDescent="0.3">
      <c r="A488" s="31">
        <v>46055</v>
      </c>
      <c r="B488" s="34" t="s">
        <v>190</v>
      </c>
      <c r="C488" s="35">
        <v>12000</v>
      </c>
      <c r="D488" s="35" t="s">
        <v>149</v>
      </c>
      <c r="E488" s="37" t="s">
        <v>477</v>
      </c>
      <c r="F488" s="37"/>
      <c r="G488" s="35">
        <v>12000</v>
      </c>
    </row>
    <row r="489" spans="1:7" ht="11.25" hidden="1" customHeight="1" x14ac:dyDescent="0.3">
      <c r="A489" s="53">
        <v>46059</v>
      </c>
      <c r="B489" s="58" t="s">
        <v>435</v>
      </c>
      <c r="C489" s="59">
        <v>150</v>
      </c>
      <c r="D489" s="58" t="s">
        <v>44</v>
      </c>
      <c r="E489" s="62" t="s">
        <v>478</v>
      </c>
      <c r="F489" s="37" t="s">
        <v>475</v>
      </c>
      <c r="G489" s="58">
        <v>0</v>
      </c>
    </row>
    <row r="490" spans="1:7" ht="11.25" hidden="1" customHeight="1" x14ac:dyDescent="0.3">
      <c r="A490" s="53">
        <v>46059</v>
      </c>
      <c r="B490" s="34" t="s">
        <v>420</v>
      </c>
      <c r="C490" s="35">
        <v>300</v>
      </c>
      <c r="D490" s="35" t="s">
        <v>44</v>
      </c>
      <c r="E490" s="57" t="s">
        <v>478</v>
      </c>
      <c r="F490" s="37" t="s">
        <v>475</v>
      </c>
      <c r="G490" s="35">
        <v>0</v>
      </c>
    </row>
    <row r="491" spans="1:7" ht="11.25" hidden="1" customHeight="1" x14ac:dyDescent="0.3">
      <c r="A491" s="53">
        <v>46059</v>
      </c>
      <c r="B491" s="34" t="s">
        <v>53</v>
      </c>
      <c r="C491" s="35">
        <v>500</v>
      </c>
      <c r="D491" s="35" t="s">
        <v>117</v>
      </c>
      <c r="E491" s="57" t="s">
        <v>478</v>
      </c>
      <c r="F491" s="37" t="s">
        <v>489</v>
      </c>
      <c r="G491" s="35">
        <v>0</v>
      </c>
    </row>
    <row r="492" spans="1:7" ht="11.25" hidden="1" customHeight="1" x14ac:dyDescent="0.3">
      <c r="A492" s="53">
        <v>46059</v>
      </c>
      <c r="B492" s="34" t="s">
        <v>283</v>
      </c>
      <c r="C492" s="35">
        <v>3000</v>
      </c>
      <c r="D492" s="35" t="s">
        <v>133</v>
      </c>
      <c r="E492" s="57" t="s">
        <v>478</v>
      </c>
      <c r="F492" s="37" t="s">
        <v>475</v>
      </c>
      <c r="G492" s="35">
        <v>0</v>
      </c>
    </row>
    <row r="493" spans="1:7" ht="11.25" hidden="1" customHeight="1" x14ac:dyDescent="0.3">
      <c r="A493" s="53">
        <v>46059</v>
      </c>
      <c r="B493" s="34" t="s">
        <v>404</v>
      </c>
      <c r="C493" s="35">
        <v>100</v>
      </c>
      <c r="D493" s="35" t="s">
        <v>273</v>
      </c>
      <c r="E493" s="57" t="s">
        <v>478</v>
      </c>
      <c r="F493" s="23" t="s">
        <v>468</v>
      </c>
      <c r="G493" s="35">
        <v>0</v>
      </c>
    </row>
    <row r="494" spans="1:7" ht="11.25" hidden="1" customHeight="1" x14ac:dyDescent="0.3">
      <c r="A494" s="53">
        <v>46059</v>
      </c>
      <c r="B494" s="34" t="s">
        <v>436</v>
      </c>
      <c r="C494" s="35">
        <v>500</v>
      </c>
      <c r="D494" s="57" t="s">
        <v>447</v>
      </c>
      <c r="E494" s="57" t="s">
        <v>478</v>
      </c>
      <c r="F494" s="23" t="s">
        <v>448</v>
      </c>
      <c r="G494" s="35">
        <v>0</v>
      </c>
    </row>
    <row r="495" spans="1:7" ht="11.25" hidden="1" customHeight="1" x14ac:dyDescent="0.3">
      <c r="A495" s="31">
        <v>46062</v>
      </c>
      <c r="B495" s="34" t="s">
        <v>434</v>
      </c>
      <c r="C495" s="35">
        <v>7500</v>
      </c>
      <c r="D495" s="35" t="s">
        <v>330</v>
      </c>
      <c r="E495" s="37" t="s">
        <v>478</v>
      </c>
      <c r="F495" s="37" t="s">
        <v>475</v>
      </c>
      <c r="G495" s="35">
        <v>0</v>
      </c>
    </row>
    <row r="496" spans="1:7" ht="11.25" hidden="1" customHeight="1" x14ac:dyDescent="0.3">
      <c r="A496" s="31">
        <v>46063</v>
      </c>
      <c r="B496" s="34" t="s">
        <v>437</v>
      </c>
      <c r="C496" s="35">
        <v>2900</v>
      </c>
      <c r="D496" s="35" t="s">
        <v>285</v>
      </c>
      <c r="E496" s="37" t="s">
        <v>477</v>
      </c>
      <c r="F496" s="37" t="s">
        <v>502</v>
      </c>
      <c r="G496" s="35">
        <v>0</v>
      </c>
    </row>
    <row r="497" spans="1:7" ht="11.25" hidden="1" customHeight="1" x14ac:dyDescent="0.3">
      <c r="A497" s="31">
        <v>46063</v>
      </c>
      <c r="B497" s="34" t="s">
        <v>11</v>
      </c>
      <c r="C497" s="35">
        <v>2000</v>
      </c>
      <c r="D497" s="35" t="s">
        <v>203</v>
      </c>
      <c r="E497" s="37" t="s">
        <v>478</v>
      </c>
      <c r="F497" s="37" t="s">
        <v>510</v>
      </c>
      <c r="G497" s="35">
        <v>0</v>
      </c>
    </row>
    <row r="498" spans="1:7" ht="11.25" hidden="1" customHeight="1" x14ac:dyDescent="0.3">
      <c r="A498" s="31">
        <v>46063</v>
      </c>
      <c r="B498" s="34" t="s">
        <v>33</v>
      </c>
      <c r="C498" s="35">
        <v>2500</v>
      </c>
      <c r="D498" s="35" t="s">
        <v>30</v>
      </c>
      <c r="E498" s="37" t="s">
        <v>478</v>
      </c>
      <c r="F498" s="37" t="s">
        <v>474</v>
      </c>
      <c r="G498" s="35">
        <v>0</v>
      </c>
    </row>
    <row r="499" spans="1:7" ht="11.25" hidden="1" customHeight="1" x14ac:dyDescent="0.3">
      <c r="A499" s="31">
        <v>46063</v>
      </c>
      <c r="B499" s="34" t="s">
        <v>438</v>
      </c>
      <c r="C499" s="35">
        <v>4400</v>
      </c>
      <c r="D499" s="35" t="s">
        <v>156</v>
      </c>
      <c r="E499" s="37" t="s">
        <v>477</v>
      </c>
      <c r="F499" s="37"/>
      <c r="G499" s="35">
        <v>4400</v>
      </c>
    </row>
    <row r="500" spans="1:7" ht="11.25" hidden="1" customHeight="1" x14ac:dyDescent="0.3">
      <c r="A500" s="31">
        <v>46063</v>
      </c>
      <c r="B500" s="34" t="s">
        <v>46</v>
      </c>
      <c r="C500" s="35">
        <v>150</v>
      </c>
      <c r="D500" s="35" t="s">
        <v>44</v>
      </c>
      <c r="E500" s="37" t="s">
        <v>478</v>
      </c>
      <c r="F500" s="37" t="s">
        <v>475</v>
      </c>
      <c r="G500" s="35">
        <v>0</v>
      </c>
    </row>
    <row r="501" spans="1:7" ht="11.25" hidden="1" customHeight="1" x14ac:dyDescent="0.3">
      <c r="A501" s="31">
        <v>46063</v>
      </c>
      <c r="B501" s="34" t="s">
        <v>370</v>
      </c>
      <c r="C501" s="35">
        <v>300</v>
      </c>
      <c r="D501" s="57" t="s">
        <v>447</v>
      </c>
      <c r="E501" s="37" t="s">
        <v>478</v>
      </c>
      <c r="F501" s="23" t="s">
        <v>448</v>
      </c>
      <c r="G501" s="35">
        <v>0</v>
      </c>
    </row>
    <row r="502" spans="1:7" ht="11.25" hidden="1" customHeight="1" x14ac:dyDescent="0.3">
      <c r="A502" s="31">
        <v>46063</v>
      </c>
      <c r="B502" s="34" t="s">
        <v>439</v>
      </c>
      <c r="C502" s="35">
        <v>12000</v>
      </c>
      <c r="D502" s="35" t="s">
        <v>164</v>
      </c>
      <c r="E502" s="37" t="s">
        <v>477</v>
      </c>
      <c r="F502" s="37" t="s">
        <v>456</v>
      </c>
      <c r="G502" s="35">
        <v>0</v>
      </c>
    </row>
    <row r="503" spans="1:7" ht="11.25" hidden="1" customHeight="1" x14ac:dyDescent="0.3">
      <c r="A503" s="31">
        <v>46063</v>
      </c>
      <c r="B503" s="34" t="s">
        <v>440</v>
      </c>
      <c r="C503" s="35">
        <v>107000</v>
      </c>
      <c r="D503" s="35" t="s">
        <v>101</v>
      </c>
      <c r="E503" s="37" t="s">
        <v>477</v>
      </c>
      <c r="F503" s="37" t="s">
        <v>443</v>
      </c>
      <c r="G503" s="35">
        <v>0</v>
      </c>
    </row>
    <row r="504" spans="1:7" ht="11.25" hidden="1" customHeight="1" x14ac:dyDescent="0.3">
      <c r="A504" s="31">
        <v>46063</v>
      </c>
      <c r="B504" s="34" t="s">
        <v>441</v>
      </c>
      <c r="C504" s="35">
        <v>4000</v>
      </c>
      <c r="D504" s="35" t="s">
        <v>203</v>
      </c>
      <c r="E504" s="37" t="s">
        <v>478</v>
      </c>
      <c r="F504" s="37" t="s">
        <v>510</v>
      </c>
      <c r="G504" s="35">
        <v>0</v>
      </c>
    </row>
    <row r="505" spans="1:7" ht="11.25" hidden="1" customHeight="1" x14ac:dyDescent="0.3">
      <c r="A505" s="31">
        <v>46070</v>
      </c>
      <c r="B505" s="34" t="s">
        <v>404</v>
      </c>
      <c r="C505" s="35">
        <v>200</v>
      </c>
      <c r="D505" s="35" t="s">
        <v>273</v>
      </c>
      <c r="E505" s="37" t="s">
        <v>478</v>
      </c>
      <c r="F505" s="23" t="s">
        <v>468</v>
      </c>
      <c r="G505" s="35">
        <v>0</v>
      </c>
    </row>
    <row r="506" spans="1:7" ht="11.25" hidden="1" customHeight="1" x14ac:dyDescent="0.3">
      <c r="A506" s="31">
        <v>46070</v>
      </c>
      <c r="B506" s="34" t="s">
        <v>373</v>
      </c>
      <c r="C506" s="35">
        <v>200</v>
      </c>
      <c r="D506" s="35" t="s">
        <v>95</v>
      </c>
      <c r="E506" s="37" t="s">
        <v>478</v>
      </c>
      <c r="F506" s="37" t="s">
        <v>475</v>
      </c>
      <c r="G506" s="35">
        <v>0</v>
      </c>
    </row>
    <row r="507" spans="1:7" ht="11.25" hidden="1" customHeight="1" x14ac:dyDescent="0.3">
      <c r="A507" s="31">
        <v>46065</v>
      </c>
      <c r="B507" s="34" t="s">
        <v>444</v>
      </c>
      <c r="C507" s="35">
        <v>3000</v>
      </c>
      <c r="D507" s="19" t="s">
        <v>122</v>
      </c>
      <c r="E507" s="37" t="s">
        <v>477</v>
      </c>
      <c r="F507" s="23" t="s">
        <v>489</v>
      </c>
      <c r="G507" s="35">
        <v>0</v>
      </c>
    </row>
    <row r="508" spans="1:7" ht="11.25" hidden="1" customHeight="1" x14ac:dyDescent="0.3">
      <c r="A508" s="31">
        <v>46072</v>
      </c>
      <c r="B508" s="34" t="s">
        <v>445</v>
      </c>
      <c r="C508" s="35">
        <v>300</v>
      </c>
      <c r="D508" s="35" t="s">
        <v>273</v>
      </c>
      <c r="E508" s="37" t="s">
        <v>478</v>
      </c>
      <c r="F508" s="23" t="s">
        <v>468</v>
      </c>
      <c r="G508" s="35">
        <v>0</v>
      </c>
    </row>
    <row r="509" spans="1:7" ht="11.25" hidden="1" customHeight="1" x14ac:dyDescent="0.3">
      <c r="A509" s="31">
        <v>46072</v>
      </c>
      <c r="B509" s="34" t="s">
        <v>446</v>
      </c>
      <c r="C509" s="35">
        <v>1500</v>
      </c>
      <c r="D509" s="35" t="s">
        <v>387</v>
      </c>
      <c r="E509" s="37" t="s">
        <v>478</v>
      </c>
      <c r="F509" s="37" t="s">
        <v>491</v>
      </c>
      <c r="G509" s="35">
        <v>0</v>
      </c>
    </row>
    <row r="510" spans="1:7" ht="11.25" hidden="1" customHeight="1" x14ac:dyDescent="0.3">
      <c r="A510" s="31">
        <v>46072</v>
      </c>
      <c r="B510" s="34" t="s">
        <v>363</v>
      </c>
      <c r="C510" s="35">
        <v>100</v>
      </c>
      <c r="D510" s="57" t="s">
        <v>447</v>
      </c>
      <c r="E510" s="37" t="s">
        <v>478</v>
      </c>
      <c r="F510" s="23" t="s">
        <v>448</v>
      </c>
      <c r="G510" s="35">
        <v>0</v>
      </c>
    </row>
    <row r="511" spans="1:7" ht="11.25" hidden="1" customHeight="1" x14ac:dyDescent="0.3">
      <c r="A511" s="31">
        <v>46072</v>
      </c>
      <c r="B511" s="34" t="s">
        <v>16</v>
      </c>
      <c r="C511" s="35">
        <v>500</v>
      </c>
      <c r="D511" s="35" t="s">
        <v>450</v>
      </c>
      <c r="E511" s="37" t="s">
        <v>478</v>
      </c>
      <c r="F511" s="37"/>
      <c r="G511" s="35">
        <v>500</v>
      </c>
    </row>
    <row r="512" spans="1:7" ht="11.25" hidden="1" customHeight="1" x14ac:dyDescent="0.3">
      <c r="A512" s="31">
        <v>46076</v>
      </c>
      <c r="B512" s="34" t="s">
        <v>453</v>
      </c>
      <c r="C512" s="35">
        <v>2000</v>
      </c>
      <c r="D512" s="35" t="s">
        <v>203</v>
      </c>
      <c r="E512" s="37" t="s">
        <v>478</v>
      </c>
      <c r="F512" s="37" t="s">
        <v>510</v>
      </c>
      <c r="G512" s="35">
        <v>0</v>
      </c>
    </row>
    <row r="513" spans="1:7" ht="11.25" hidden="1" customHeight="1" x14ac:dyDescent="0.3">
      <c r="A513" s="31">
        <v>46076</v>
      </c>
      <c r="B513" s="34" t="s">
        <v>373</v>
      </c>
      <c r="C513" s="35">
        <v>1000</v>
      </c>
      <c r="D513" s="35" t="s">
        <v>95</v>
      </c>
      <c r="E513" s="37" t="s">
        <v>478</v>
      </c>
      <c r="F513" s="37" t="s">
        <v>475</v>
      </c>
      <c r="G513" s="35">
        <v>0</v>
      </c>
    </row>
    <row r="514" spans="1:7" ht="11.25" hidden="1" customHeight="1" x14ac:dyDescent="0.3">
      <c r="A514" s="31">
        <v>46077</v>
      </c>
      <c r="B514" s="34" t="s">
        <v>455</v>
      </c>
      <c r="C514" s="35">
        <v>1500</v>
      </c>
      <c r="D514" s="35" t="s">
        <v>195</v>
      </c>
      <c r="E514" s="37" t="s">
        <v>478</v>
      </c>
      <c r="F514" s="37"/>
      <c r="G514" s="35">
        <v>1500</v>
      </c>
    </row>
    <row r="515" spans="1:7" ht="11.25" hidden="1" customHeight="1" x14ac:dyDescent="0.3">
      <c r="A515" s="31">
        <v>46077</v>
      </c>
      <c r="B515" s="34" t="s">
        <v>112</v>
      </c>
      <c r="C515" s="35">
        <v>2800</v>
      </c>
      <c r="D515" s="35" t="s">
        <v>95</v>
      </c>
      <c r="E515" s="37" t="s">
        <v>478</v>
      </c>
      <c r="F515" s="37" t="s">
        <v>475</v>
      </c>
      <c r="G515" s="35">
        <v>0</v>
      </c>
    </row>
    <row r="516" spans="1:7" ht="11.25" hidden="1" customHeight="1" x14ac:dyDescent="0.3">
      <c r="A516" s="31">
        <v>46077</v>
      </c>
      <c r="B516" s="34" t="s">
        <v>112</v>
      </c>
      <c r="C516" s="35">
        <v>700</v>
      </c>
      <c r="D516" s="35" t="s">
        <v>95</v>
      </c>
      <c r="E516" s="37" t="s">
        <v>478</v>
      </c>
      <c r="F516" s="37" t="s">
        <v>475</v>
      </c>
      <c r="G516" s="35">
        <v>0</v>
      </c>
    </row>
    <row r="517" spans="1:7" ht="11.25" hidden="1" customHeight="1" x14ac:dyDescent="0.3">
      <c r="A517" s="31">
        <v>46079</v>
      </c>
      <c r="B517" s="34" t="s">
        <v>470</v>
      </c>
      <c r="C517" s="35">
        <v>2000</v>
      </c>
      <c r="D517" s="35" t="s">
        <v>127</v>
      </c>
      <c r="E517" s="37" t="s">
        <v>478</v>
      </c>
      <c r="F517" s="23" t="s">
        <v>502</v>
      </c>
      <c r="G517" s="35">
        <v>0</v>
      </c>
    </row>
    <row r="518" spans="1:7" ht="11.25" hidden="1" customHeight="1" x14ac:dyDescent="0.3">
      <c r="A518" s="31">
        <v>46079</v>
      </c>
      <c r="B518" s="34" t="s">
        <v>113</v>
      </c>
      <c r="C518" s="35">
        <v>2000</v>
      </c>
      <c r="D518" s="35" t="s">
        <v>127</v>
      </c>
      <c r="E518" s="37" t="s">
        <v>478</v>
      </c>
      <c r="F518" s="23" t="s">
        <v>502</v>
      </c>
      <c r="G518" s="35">
        <v>0</v>
      </c>
    </row>
    <row r="519" spans="1:7" ht="11.25" hidden="1" customHeight="1" x14ac:dyDescent="0.3">
      <c r="A519" s="31">
        <v>46079</v>
      </c>
      <c r="B519" s="34" t="s">
        <v>469</v>
      </c>
      <c r="C519" s="35">
        <v>1500</v>
      </c>
      <c r="D519" s="35" t="s">
        <v>273</v>
      </c>
      <c r="E519" s="37" t="s">
        <v>478</v>
      </c>
      <c r="F519" s="37" t="s">
        <v>535</v>
      </c>
      <c r="G519" s="35">
        <v>0</v>
      </c>
    </row>
    <row r="520" spans="1:7" ht="11.25" hidden="1" customHeight="1" x14ac:dyDescent="0.3">
      <c r="A520" s="31">
        <v>46079</v>
      </c>
      <c r="B520" s="34" t="s">
        <v>53</v>
      </c>
      <c r="C520" s="35">
        <v>1000</v>
      </c>
      <c r="D520" s="35" t="s">
        <v>117</v>
      </c>
      <c r="E520" s="37" t="s">
        <v>478</v>
      </c>
      <c r="F520" s="37" t="s">
        <v>489</v>
      </c>
      <c r="G520" s="35">
        <v>0</v>
      </c>
    </row>
    <row r="521" spans="1:7" ht="11.25" hidden="1" customHeight="1" x14ac:dyDescent="0.3">
      <c r="A521" s="31">
        <v>46083</v>
      </c>
      <c r="B521" s="34" t="s">
        <v>471</v>
      </c>
      <c r="C521" s="35">
        <v>10000</v>
      </c>
      <c r="D521" s="35" t="s">
        <v>285</v>
      </c>
      <c r="E521" s="37" t="s">
        <v>477</v>
      </c>
      <c r="F521" s="37" t="s">
        <v>502</v>
      </c>
      <c r="G521" s="35">
        <v>0</v>
      </c>
    </row>
    <row r="522" spans="1:7" ht="11.25" hidden="1" customHeight="1" x14ac:dyDescent="0.3">
      <c r="A522" s="31">
        <v>46084</v>
      </c>
      <c r="B522" s="34" t="s">
        <v>18</v>
      </c>
      <c r="C522" s="35">
        <v>300</v>
      </c>
      <c r="D522" s="35" t="s">
        <v>285</v>
      </c>
      <c r="E522" s="37" t="s">
        <v>477</v>
      </c>
      <c r="F522" s="37" t="s">
        <v>502</v>
      </c>
      <c r="G522" s="35">
        <v>0</v>
      </c>
    </row>
    <row r="523" spans="1:7" ht="11.25" hidden="1" customHeight="1" x14ac:dyDescent="0.3">
      <c r="A523" s="31">
        <v>46084</v>
      </c>
      <c r="B523" s="34" t="s">
        <v>472</v>
      </c>
      <c r="C523" s="35">
        <v>1500</v>
      </c>
      <c r="D523" s="35" t="s">
        <v>285</v>
      </c>
      <c r="E523" s="37" t="s">
        <v>477</v>
      </c>
      <c r="F523" s="37" t="s">
        <v>502</v>
      </c>
      <c r="G523" s="35">
        <v>0</v>
      </c>
    </row>
    <row r="524" spans="1:7" ht="11.25" hidden="1" customHeight="1" x14ac:dyDescent="0.3">
      <c r="A524" s="31">
        <v>46084</v>
      </c>
      <c r="B524" s="34" t="s">
        <v>473</v>
      </c>
      <c r="C524" s="35">
        <v>10000</v>
      </c>
      <c r="D524" s="35" t="s">
        <v>133</v>
      </c>
      <c r="E524" s="37" t="s">
        <v>478</v>
      </c>
      <c r="F524" s="37" t="s">
        <v>475</v>
      </c>
      <c r="G524" s="35">
        <v>0</v>
      </c>
    </row>
    <row r="525" spans="1:7" ht="11.25" hidden="1" customHeight="1" x14ac:dyDescent="0.3">
      <c r="A525" s="31">
        <v>46084</v>
      </c>
      <c r="B525" s="34" t="s">
        <v>231</v>
      </c>
      <c r="C525" s="35">
        <v>3500</v>
      </c>
      <c r="D525" s="35" t="s">
        <v>216</v>
      </c>
      <c r="E525" s="37" t="s">
        <v>478</v>
      </c>
      <c r="F525" s="37" t="s">
        <v>546</v>
      </c>
      <c r="G525" s="35">
        <v>0</v>
      </c>
    </row>
    <row r="526" spans="1:7" ht="11.25" hidden="1" customHeight="1" x14ac:dyDescent="0.3">
      <c r="A526" s="31">
        <v>46090</v>
      </c>
      <c r="B526" s="34" t="s">
        <v>385</v>
      </c>
      <c r="C526" s="35">
        <v>1500</v>
      </c>
      <c r="D526" s="35" t="s">
        <v>387</v>
      </c>
      <c r="E526" s="37" t="s">
        <v>478</v>
      </c>
      <c r="F526" s="37" t="s">
        <v>491</v>
      </c>
      <c r="G526" s="35">
        <v>0</v>
      </c>
    </row>
    <row r="527" spans="1:7" ht="11.25" hidden="1" customHeight="1" x14ac:dyDescent="0.3">
      <c r="A527" s="31">
        <v>46090</v>
      </c>
      <c r="B527" s="34" t="s">
        <v>481</v>
      </c>
      <c r="C527" s="35">
        <v>200</v>
      </c>
      <c r="D527" s="35" t="s">
        <v>156</v>
      </c>
      <c r="E527" s="37" t="s">
        <v>477</v>
      </c>
      <c r="F527" s="37"/>
      <c r="G527" s="35">
        <v>200</v>
      </c>
    </row>
    <row r="528" spans="1:7" ht="11.25" hidden="1" customHeight="1" x14ac:dyDescent="0.3">
      <c r="A528" s="31">
        <v>46090</v>
      </c>
      <c r="B528" s="34" t="s">
        <v>227</v>
      </c>
      <c r="C528" s="35">
        <v>1000</v>
      </c>
      <c r="D528" s="35" t="s">
        <v>52</v>
      </c>
      <c r="E528" s="37" t="s">
        <v>478</v>
      </c>
      <c r="F528" s="37" t="s">
        <v>555</v>
      </c>
      <c r="G528" s="35">
        <v>0</v>
      </c>
    </row>
    <row r="529" spans="1:7" ht="11.25" hidden="1" customHeight="1" x14ac:dyDescent="0.3">
      <c r="A529" s="31">
        <v>46090</v>
      </c>
      <c r="B529" s="34" t="s">
        <v>422</v>
      </c>
      <c r="C529" s="35">
        <v>400</v>
      </c>
      <c r="D529" s="35" t="s">
        <v>95</v>
      </c>
      <c r="E529" s="37" t="s">
        <v>478</v>
      </c>
      <c r="F529" s="37"/>
      <c r="G529" s="35">
        <v>400</v>
      </c>
    </row>
    <row r="530" spans="1:7" ht="11.25" hidden="1" customHeight="1" x14ac:dyDescent="0.3">
      <c r="A530" s="31">
        <v>46093</v>
      </c>
      <c r="B530" s="34" t="s">
        <v>482</v>
      </c>
      <c r="C530" s="35">
        <v>500</v>
      </c>
      <c r="D530" s="35" t="s">
        <v>447</v>
      </c>
      <c r="E530" s="37" t="s">
        <v>478</v>
      </c>
      <c r="F530" s="37"/>
      <c r="G530" s="35">
        <v>500</v>
      </c>
    </row>
    <row r="531" spans="1:7" ht="11.25" hidden="1" customHeight="1" x14ac:dyDescent="0.3">
      <c r="A531" s="31">
        <v>46094</v>
      </c>
      <c r="B531" s="34" t="s">
        <v>422</v>
      </c>
      <c r="C531" s="35">
        <v>200</v>
      </c>
      <c r="D531" s="35" t="s">
        <v>95</v>
      </c>
      <c r="E531" s="37" t="s">
        <v>478</v>
      </c>
      <c r="F531" s="37"/>
      <c r="G531" s="35">
        <v>200</v>
      </c>
    </row>
    <row r="532" spans="1:7" ht="11.25" hidden="1" customHeight="1" x14ac:dyDescent="0.3">
      <c r="A532" s="31">
        <v>46094</v>
      </c>
      <c r="B532" s="34" t="s">
        <v>469</v>
      </c>
      <c r="C532" s="35">
        <v>1000</v>
      </c>
      <c r="D532" s="35" t="s">
        <v>273</v>
      </c>
      <c r="E532" s="37" t="s">
        <v>478</v>
      </c>
      <c r="F532" s="37" t="s">
        <v>535</v>
      </c>
      <c r="G532" s="35">
        <v>0</v>
      </c>
    </row>
    <row r="533" spans="1:7" ht="11.25" hidden="1" customHeight="1" x14ac:dyDescent="0.3">
      <c r="A533" s="31">
        <v>46094</v>
      </c>
      <c r="B533" s="34" t="s">
        <v>436</v>
      </c>
      <c r="C533" s="35">
        <v>500</v>
      </c>
      <c r="D533" s="35" t="s">
        <v>447</v>
      </c>
      <c r="E533" s="37" t="s">
        <v>478</v>
      </c>
      <c r="F533" s="37"/>
      <c r="G533" s="35">
        <v>500</v>
      </c>
    </row>
    <row r="534" spans="1:7" ht="11.25" hidden="1" customHeight="1" x14ac:dyDescent="0.3">
      <c r="A534" s="31">
        <v>46097</v>
      </c>
      <c r="B534" s="34" t="s">
        <v>484</v>
      </c>
      <c r="C534" s="35">
        <v>2000</v>
      </c>
      <c r="D534" s="35" t="s">
        <v>203</v>
      </c>
      <c r="E534" s="37" t="s">
        <v>478</v>
      </c>
      <c r="F534" s="37" t="s">
        <v>510</v>
      </c>
      <c r="G534" s="35">
        <v>0</v>
      </c>
    </row>
    <row r="535" spans="1:7" ht="11.25" hidden="1" customHeight="1" x14ac:dyDescent="0.3">
      <c r="A535" s="31">
        <v>46097</v>
      </c>
      <c r="B535" s="34" t="s">
        <v>224</v>
      </c>
      <c r="C535" s="35">
        <v>500</v>
      </c>
      <c r="D535" s="35" t="s">
        <v>117</v>
      </c>
      <c r="E535" s="37" t="s">
        <v>478</v>
      </c>
      <c r="F535" s="37" t="s">
        <v>489</v>
      </c>
      <c r="G535" s="35">
        <v>0</v>
      </c>
    </row>
    <row r="536" spans="1:7" ht="11.25" hidden="1" customHeight="1" x14ac:dyDescent="0.3">
      <c r="A536" s="31">
        <v>46097</v>
      </c>
      <c r="B536" s="34" t="s">
        <v>201</v>
      </c>
      <c r="C536" s="35">
        <v>2500</v>
      </c>
      <c r="D536" s="35" t="s">
        <v>501</v>
      </c>
      <c r="E536" s="37" t="s">
        <v>478</v>
      </c>
      <c r="F536" s="37" t="s">
        <v>506</v>
      </c>
      <c r="G536" s="35">
        <v>0</v>
      </c>
    </row>
    <row r="537" spans="1:7" ht="11.25" hidden="1" customHeight="1" x14ac:dyDescent="0.3">
      <c r="A537" s="31">
        <v>46097</v>
      </c>
      <c r="B537" s="34" t="s">
        <v>385</v>
      </c>
      <c r="C537" s="35">
        <v>2500</v>
      </c>
      <c r="D537" s="35" t="s">
        <v>387</v>
      </c>
      <c r="E537" s="37" t="s">
        <v>478</v>
      </c>
      <c r="F537" s="37" t="s">
        <v>491</v>
      </c>
      <c r="G537" s="35">
        <v>0</v>
      </c>
    </row>
    <row r="538" spans="1:7" ht="11.25" hidden="1" customHeight="1" x14ac:dyDescent="0.3">
      <c r="A538" s="31">
        <v>46097</v>
      </c>
      <c r="B538" s="34" t="s">
        <v>485</v>
      </c>
      <c r="C538" s="35">
        <v>6500</v>
      </c>
      <c r="D538" s="35" t="s">
        <v>130</v>
      </c>
      <c r="E538" s="37" t="s">
        <v>478</v>
      </c>
      <c r="F538" s="37" t="s">
        <v>498</v>
      </c>
      <c r="G538" s="35">
        <v>0</v>
      </c>
    </row>
    <row r="539" spans="1:7" ht="11.25" hidden="1" customHeight="1" x14ac:dyDescent="0.3">
      <c r="A539" s="31">
        <v>46097</v>
      </c>
      <c r="B539" s="34" t="s">
        <v>385</v>
      </c>
      <c r="C539" s="35">
        <v>2000</v>
      </c>
      <c r="D539" s="35" t="s">
        <v>387</v>
      </c>
      <c r="E539" s="37" t="s">
        <v>478</v>
      </c>
      <c r="F539" s="37" t="s">
        <v>491</v>
      </c>
      <c r="G539" s="35">
        <v>0</v>
      </c>
    </row>
    <row r="540" spans="1:7" ht="11.25" hidden="1" customHeight="1" x14ac:dyDescent="0.3">
      <c r="A540" s="31">
        <v>46097</v>
      </c>
      <c r="B540" s="34" t="s">
        <v>486</v>
      </c>
      <c r="C540" s="35">
        <v>80000</v>
      </c>
      <c r="D540" s="35" t="s">
        <v>164</v>
      </c>
      <c r="E540" s="37" t="s">
        <v>477</v>
      </c>
      <c r="F540" s="37" t="s">
        <v>487</v>
      </c>
      <c r="G540" s="35">
        <v>0</v>
      </c>
    </row>
    <row r="541" spans="1:7" ht="11.25" hidden="1" customHeight="1" x14ac:dyDescent="0.3">
      <c r="A541" s="31">
        <v>46098</v>
      </c>
      <c r="B541" s="34" t="s">
        <v>312</v>
      </c>
      <c r="C541" s="35">
        <v>3000</v>
      </c>
      <c r="D541" s="35" t="s">
        <v>176</v>
      </c>
      <c r="E541" s="37" t="s">
        <v>478</v>
      </c>
      <c r="F541" s="23" t="s">
        <v>500</v>
      </c>
      <c r="G541" s="35">
        <v>0</v>
      </c>
    </row>
    <row r="542" spans="1:7" ht="11.25" hidden="1" customHeight="1" x14ac:dyDescent="0.3">
      <c r="A542" s="31">
        <v>46104</v>
      </c>
      <c r="B542" s="34" t="s">
        <v>492</v>
      </c>
      <c r="C542" s="35">
        <v>2000</v>
      </c>
      <c r="D542" s="35" t="s">
        <v>133</v>
      </c>
      <c r="E542" s="37" t="s">
        <v>478</v>
      </c>
      <c r="F542" s="37"/>
      <c r="G542" s="35">
        <v>2000</v>
      </c>
    </row>
    <row r="543" spans="1:7" ht="11.25" hidden="1" customHeight="1" x14ac:dyDescent="0.3">
      <c r="A543" s="31">
        <v>46104</v>
      </c>
      <c r="B543" s="34" t="s">
        <v>493</v>
      </c>
      <c r="C543" s="35">
        <v>500</v>
      </c>
      <c r="D543" s="35" t="s">
        <v>136</v>
      </c>
      <c r="E543" s="37" t="s">
        <v>478</v>
      </c>
      <c r="F543" s="23" t="s">
        <v>510</v>
      </c>
      <c r="G543" s="35">
        <v>0</v>
      </c>
    </row>
    <row r="544" spans="1:7" ht="11.25" hidden="1" customHeight="1" x14ac:dyDescent="0.3">
      <c r="A544" s="31">
        <v>46104</v>
      </c>
      <c r="B544" s="34" t="s">
        <v>404</v>
      </c>
      <c r="C544" s="35">
        <v>300</v>
      </c>
      <c r="D544" s="35" t="s">
        <v>273</v>
      </c>
      <c r="E544" s="37" t="s">
        <v>478</v>
      </c>
      <c r="F544" s="37" t="s">
        <v>535</v>
      </c>
      <c r="G544" s="35">
        <v>0</v>
      </c>
    </row>
    <row r="545" spans="1:7" ht="11.25" hidden="1" customHeight="1" x14ac:dyDescent="0.3">
      <c r="A545" s="31">
        <v>46107</v>
      </c>
      <c r="B545" s="34" t="s">
        <v>490</v>
      </c>
      <c r="C545" s="35">
        <v>2000</v>
      </c>
      <c r="D545" s="35" t="s">
        <v>195</v>
      </c>
      <c r="E545" s="37" t="s">
        <v>478</v>
      </c>
      <c r="F545" s="37"/>
      <c r="G545" s="35">
        <v>2000</v>
      </c>
    </row>
    <row r="546" spans="1:7" ht="11.25" hidden="1" customHeight="1" x14ac:dyDescent="0.3">
      <c r="A546" s="31">
        <v>46107</v>
      </c>
      <c r="B546" s="34" t="s">
        <v>494</v>
      </c>
      <c r="C546" s="35">
        <v>3000</v>
      </c>
      <c r="D546" s="35" t="s">
        <v>101</v>
      </c>
      <c r="E546" s="37" t="s">
        <v>477</v>
      </c>
      <c r="F546" s="37"/>
      <c r="G546" s="35">
        <v>3000</v>
      </c>
    </row>
    <row r="547" spans="1:7" ht="11.25" hidden="1" customHeight="1" x14ac:dyDescent="0.3">
      <c r="A547" s="31">
        <v>46107</v>
      </c>
      <c r="B547" s="34" t="s">
        <v>77</v>
      </c>
      <c r="C547" s="35">
        <v>4000</v>
      </c>
      <c r="D547" s="35" t="s">
        <v>101</v>
      </c>
      <c r="E547" s="37" t="s">
        <v>477</v>
      </c>
      <c r="F547" s="37"/>
      <c r="G547" s="35">
        <v>4000</v>
      </c>
    </row>
    <row r="548" spans="1:7" ht="11.25" hidden="1" customHeight="1" x14ac:dyDescent="0.3">
      <c r="A548" s="31">
        <v>46107</v>
      </c>
      <c r="B548" s="34" t="s">
        <v>495</v>
      </c>
      <c r="C548" s="35">
        <v>10000</v>
      </c>
      <c r="D548" s="35" t="s">
        <v>164</v>
      </c>
      <c r="E548" s="37" t="s">
        <v>477</v>
      </c>
      <c r="F548" s="37" t="s">
        <v>498</v>
      </c>
      <c r="G548" s="35">
        <v>0</v>
      </c>
    </row>
    <row r="549" spans="1:7" ht="11.25" hidden="1" customHeight="1" x14ac:dyDescent="0.3">
      <c r="A549" s="31">
        <v>46107</v>
      </c>
      <c r="B549" s="34" t="s">
        <v>496</v>
      </c>
      <c r="C549" s="35">
        <v>20000</v>
      </c>
      <c r="D549" s="35" t="s">
        <v>176</v>
      </c>
      <c r="E549" s="37" t="s">
        <v>478</v>
      </c>
      <c r="F549" s="23" t="s">
        <v>500</v>
      </c>
      <c r="G549" s="35">
        <v>0</v>
      </c>
    </row>
    <row r="550" spans="1:7" ht="11.25" hidden="1" customHeight="1" x14ac:dyDescent="0.3">
      <c r="A550" s="31">
        <v>46111</v>
      </c>
      <c r="B550" s="34" t="s">
        <v>499</v>
      </c>
      <c r="C550" s="35">
        <v>5000</v>
      </c>
      <c r="D550" s="35" t="s">
        <v>447</v>
      </c>
      <c r="E550" s="37" t="s">
        <v>478</v>
      </c>
      <c r="F550" s="37"/>
      <c r="G550" s="35">
        <v>5000</v>
      </c>
    </row>
    <row r="551" spans="1:7" ht="11.25" hidden="1" customHeight="1" x14ac:dyDescent="0.3">
      <c r="A551" s="31">
        <v>46111</v>
      </c>
      <c r="B551" s="34" t="s">
        <v>373</v>
      </c>
      <c r="C551" s="35">
        <v>200</v>
      </c>
      <c r="D551" s="35" t="s">
        <v>44</v>
      </c>
      <c r="E551" s="37" t="s">
        <v>478</v>
      </c>
      <c r="F551" s="37"/>
      <c r="G551" s="35">
        <v>200</v>
      </c>
    </row>
    <row r="552" spans="1:7" ht="11.25" customHeight="1" x14ac:dyDescent="0.3">
      <c r="A552" s="31">
        <v>46111</v>
      </c>
      <c r="B552" s="34" t="s">
        <v>190</v>
      </c>
      <c r="C552" s="35">
        <v>10000</v>
      </c>
      <c r="D552" s="35" t="s">
        <v>149</v>
      </c>
      <c r="E552" s="37" t="s">
        <v>477</v>
      </c>
      <c r="F552" s="37"/>
      <c r="G552" s="35">
        <v>10000</v>
      </c>
    </row>
    <row r="553" spans="1:7" ht="11.25" hidden="1" customHeight="1" x14ac:dyDescent="0.3">
      <c r="A553" s="31">
        <v>46112</v>
      </c>
      <c r="B553" s="34" t="s">
        <v>112</v>
      </c>
      <c r="C553" s="35">
        <v>2500</v>
      </c>
      <c r="D553" s="35" t="s">
        <v>95</v>
      </c>
      <c r="E553" s="37" t="s">
        <v>478</v>
      </c>
      <c r="F553" s="37"/>
      <c r="G553" s="35">
        <v>2500</v>
      </c>
    </row>
    <row r="554" spans="1:7" ht="11.25" hidden="1" customHeight="1" x14ac:dyDescent="0.3">
      <c r="A554" s="31">
        <v>46114</v>
      </c>
      <c r="B554" s="34" t="s">
        <v>53</v>
      </c>
      <c r="C554" s="35">
        <v>1000</v>
      </c>
      <c r="D554" s="35" t="s">
        <v>117</v>
      </c>
      <c r="E554" s="37" t="s">
        <v>478</v>
      </c>
      <c r="F554" s="37" t="s">
        <v>545</v>
      </c>
      <c r="G554" s="35">
        <v>0</v>
      </c>
    </row>
    <row r="555" spans="1:7" ht="11.25" hidden="1" customHeight="1" x14ac:dyDescent="0.3">
      <c r="A555" s="31">
        <v>46114</v>
      </c>
      <c r="B555" s="34" t="s">
        <v>503</v>
      </c>
      <c r="C555" s="35">
        <v>300</v>
      </c>
      <c r="D555" s="35" t="s">
        <v>273</v>
      </c>
      <c r="E555" s="37" t="s">
        <v>478</v>
      </c>
      <c r="F555" s="37" t="s">
        <v>535</v>
      </c>
      <c r="G555" s="35">
        <v>0</v>
      </c>
    </row>
    <row r="556" spans="1:7" ht="11.25" hidden="1" customHeight="1" x14ac:dyDescent="0.3">
      <c r="A556" s="31">
        <v>46114</v>
      </c>
      <c r="B556" s="34" t="s">
        <v>373</v>
      </c>
      <c r="C556" s="35">
        <v>200</v>
      </c>
      <c r="D556" s="35" t="s">
        <v>44</v>
      </c>
      <c r="E556" s="37" t="s">
        <v>478</v>
      </c>
      <c r="F556" s="37"/>
      <c r="G556" s="35">
        <v>200</v>
      </c>
    </row>
    <row r="557" spans="1:7" ht="11.25" hidden="1" customHeight="1" x14ac:dyDescent="0.3">
      <c r="A557" s="31">
        <v>46118</v>
      </c>
      <c r="B557" s="34" t="s">
        <v>504</v>
      </c>
      <c r="C557" s="35">
        <v>50000</v>
      </c>
      <c r="D557" s="35" t="s">
        <v>164</v>
      </c>
      <c r="E557" s="37" t="s">
        <v>477</v>
      </c>
      <c r="F557" s="37" t="s">
        <v>505</v>
      </c>
      <c r="G557" s="35">
        <v>0</v>
      </c>
    </row>
    <row r="558" spans="1:7" ht="11.25" hidden="1" customHeight="1" x14ac:dyDescent="0.3">
      <c r="A558" s="31">
        <v>46119</v>
      </c>
      <c r="B558" s="34" t="s">
        <v>422</v>
      </c>
      <c r="C558" s="35">
        <v>400</v>
      </c>
      <c r="D558" s="35" t="s">
        <v>44</v>
      </c>
      <c r="E558" s="37" t="s">
        <v>478</v>
      </c>
      <c r="F558" s="37"/>
      <c r="G558" s="35">
        <v>400</v>
      </c>
    </row>
    <row r="559" spans="1:7" ht="11.25" hidden="1" customHeight="1" x14ac:dyDescent="0.3">
      <c r="A559" s="31">
        <v>46122</v>
      </c>
      <c r="B559" s="34" t="s">
        <v>511</v>
      </c>
      <c r="C559" s="35">
        <v>900</v>
      </c>
      <c r="D559" s="35" t="s">
        <v>285</v>
      </c>
      <c r="E559" s="37" t="s">
        <v>477</v>
      </c>
      <c r="F559" s="37"/>
      <c r="G559" s="35">
        <v>900</v>
      </c>
    </row>
    <row r="560" spans="1:7" ht="11.25" hidden="1" customHeight="1" x14ac:dyDescent="0.3">
      <c r="A560" s="31">
        <v>46125</v>
      </c>
      <c r="B560" s="34" t="s">
        <v>226</v>
      </c>
      <c r="C560" s="35">
        <v>3500</v>
      </c>
      <c r="D560" s="35" t="s">
        <v>216</v>
      </c>
      <c r="E560" s="37" t="s">
        <v>478</v>
      </c>
      <c r="F560" s="37" t="s">
        <v>546</v>
      </c>
      <c r="G560" s="35">
        <v>0</v>
      </c>
    </row>
    <row r="561" spans="1:7" ht="11.25" hidden="1" customHeight="1" x14ac:dyDescent="0.3">
      <c r="A561" s="31">
        <v>46125</v>
      </c>
      <c r="B561" s="34" t="s">
        <v>173</v>
      </c>
      <c r="C561" s="35">
        <v>2500</v>
      </c>
      <c r="D561" s="35" t="s">
        <v>187</v>
      </c>
      <c r="E561" s="37" t="s">
        <v>478</v>
      </c>
      <c r="F561" s="37"/>
      <c r="G561" s="35">
        <v>2500</v>
      </c>
    </row>
    <row r="562" spans="1:7" ht="11.25" hidden="1" customHeight="1" x14ac:dyDescent="0.3">
      <c r="A562" s="31">
        <v>46125</v>
      </c>
      <c r="B562" s="34" t="s">
        <v>512</v>
      </c>
      <c r="C562" s="35">
        <v>1000</v>
      </c>
      <c r="D562" s="35" t="s">
        <v>285</v>
      </c>
      <c r="E562" s="37" t="s">
        <v>477</v>
      </c>
      <c r="F562" s="37"/>
      <c r="G562" s="35">
        <v>1000</v>
      </c>
    </row>
    <row r="563" spans="1:7" ht="11.25" hidden="1" customHeight="1" x14ac:dyDescent="0.3">
      <c r="A563" s="31">
        <v>46126</v>
      </c>
      <c r="B563" s="34" t="s">
        <v>514</v>
      </c>
      <c r="C563" s="35">
        <v>5000</v>
      </c>
      <c r="D563" s="35" t="s">
        <v>52</v>
      </c>
      <c r="E563" s="37" t="s">
        <v>478</v>
      </c>
      <c r="F563" s="37" t="s">
        <v>555</v>
      </c>
      <c r="G563" s="35">
        <v>0</v>
      </c>
    </row>
    <row r="564" spans="1:7" ht="11.25" hidden="1" customHeight="1" x14ac:dyDescent="0.3">
      <c r="A564" s="31">
        <v>46127</v>
      </c>
      <c r="B564" s="34" t="s">
        <v>515</v>
      </c>
      <c r="C564" s="35">
        <v>3000</v>
      </c>
      <c r="D564" s="35" t="s">
        <v>127</v>
      </c>
      <c r="E564" s="37" t="s">
        <v>478</v>
      </c>
      <c r="F564" s="37"/>
      <c r="G564" s="35">
        <v>3000</v>
      </c>
    </row>
    <row r="565" spans="1:7" ht="11.25" hidden="1" customHeight="1" x14ac:dyDescent="0.3">
      <c r="A565" s="31">
        <v>46127</v>
      </c>
      <c r="B565" s="34" t="s">
        <v>516</v>
      </c>
      <c r="C565" s="35">
        <v>500</v>
      </c>
      <c r="D565" s="35" t="s">
        <v>273</v>
      </c>
      <c r="E565" s="37" t="s">
        <v>478</v>
      </c>
      <c r="F565" s="37" t="s">
        <v>535</v>
      </c>
      <c r="G565" s="35">
        <v>0</v>
      </c>
    </row>
    <row r="566" spans="1:7" ht="11.25" hidden="1" customHeight="1" x14ac:dyDescent="0.3">
      <c r="A566" s="31">
        <v>46127</v>
      </c>
      <c r="B566" s="34" t="s">
        <v>517</v>
      </c>
      <c r="C566" s="35">
        <v>500</v>
      </c>
      <c r="D566" s="35" t="s">
        <v>285</v>
      </c>
      <c r="E566" s="37" t="s">
        <v>477</v>
      </c>
      <c r="F566" s="37"/>
      <c r="G566" s="35">
        <v>500</v>
      </c>
    </row>
    <row r="567" spans="1:7" ht="11.25" hidden="1" customHeight="1" x14ac:dyDescent="0.3">
      <c r="A567" s="31">
        <v>46127</v>
      </c>
      <c r="B567" s="34" t="s">
        <v>520</v>
      </c>
      <c r="C567" s="35">
        <v>1500</v>
      </c>
      <c r="D567" s="35" t="s">
        <v>156</v>
      </c>
      <c r="E567" s="37" t="s">
        <v>477</v>
      </c>
      <c r="F567" s="37"/>
      <c r="G567" s="35">
        <v>1500</v>
      </c>
    </row>
    <row r="568" spans="1:7" ht="11.25" hidden="1" customHeight="1" x14ac:dyDescent="0.3">
      <c r="A568" s="31">
        <v>46128</v>
      </c>
      <c r="B568" s="34" t="s">
        <v>16</v>
      </c>
      <c r="C568" s="35">
        <v>1000</v>
      </c>
      <c r="D568" s="35" t="s">
        <v>127</v>
      </c>
      <c r="E568" s="37" t="s">
        <v>478</v>
      </c>
      <c r="F568" s="37"/>
      <c r="G568" s="35">
        <v>1000</v>
      </c>
    </row>
    <row r="569" spans="1:7" ht="11.25" hidden="1" customHeight="1" x14ac:dyDescent="0.3">
      <c r="A569" s="31">
        <v>46128</v>
      </c>
      <c r="B569" s="34" t="s">
        <v>521</v>
      </c>
      <c r="C569" s="35">
        <v>500</v>
      </c>
      <c r="D569" s="35" t="s">
        <v>285</v>
      </c>
      <c r="E569" s="37" t="s">
        <v>477</v>
      </c>
      <c r="F569" s="37"/>
      <c r="G569" s="35">
        <v>500</v>
      </c>
    </row>
    <row r="570" spans="1:7" ht="11.25" hidden="1" customHeight="1" x14ac:dyDescent="0.3">
      <c r="A570" s="31">
        <v>46128</v>
      </c>
      <c r="B570" s="34" t="s">
        <v>522</v>
      </c>
      <c r="C570" s="35">
        <v>500</v>
      </c>
      <c r="D570" s="35" t="s">
        <v>156</v>
      </c>
      <c r="E570" s="37" t="s">
        <v>477</v>
      </c>
      <c r="F570" s="37"/>
      <c r="G570" s="35">
        <v>500</v>
      </c>
    </row>
    <row r="571" spans="1:7" ht="11.25" hidden="1" customHeight="1" x14ac:dyDescent="0.3">
      <c r="A571" s="31">
        <v>46132</v>
      </c>
      <c r="B571" s="34" t="s">
        <v>524</v>
      </c>
      <c r="C571" s="35">
        <v>2000</v>
      </c>
      <c r="D571" s="35" t="s">
        <v>203</v>
      </c>
      <c r="E571" s="37" t="s">
        <v>478</v>
      </c>
      <c r="F571" s="37"/>
      <c r="G571" s="35">
        <v>2000</v>
      </c>
    </row>
    <row r="572" spans="1:7" ht="11.25" hidden="1" customHeight="1" x14ac:dyDescent="0.3">
      <c r="A572" s="31">
        <v>46132</v>
      </c>
      <c r="B572" s="34" t="s">
        <v>525</v>
      </c>
      <c r="C572" s="35">
        <v>2000</v>
      </c>
      <c r="D572" s="35" t="s">
        <v>203</v>
      </c>
      <c r="E572" s="37" t="s">
        <v>478</v>
      </c>
      <c r="F572" s="37"/>
      <c r="G572" s="35">
        <v>2000</v>
      </c>
    </row>
    <row r="573" spans="1:7" ht="11.25" hidden="1" customHeight="1" x14ac:dyDescent="0.3">
      <c r="A573" s="31">
        <v>46132</v>
      </c>
      <c r="B573" s="34" t="s">
        <v>529</v>
      </c>
      <c r="C573" s="35">
        <v>1000</v>
      </c>
      <c r="D573" s="35" t="s">
        <v>156</v>
      </c>
      <c r="E573" s="37" t="s">
        <v>477</v>
      </c>
      <c r="F573" s="37"/>
      <c r="G573" s="35">
        <v>1000</v>
      </c>
    </row>
    <row r="574" spans="1:7" ht="11.25" hidden="1" customHeight="1" x14ac:dyDescent="0.3">
      <c r="A574" s="31">
        <v>46132</v>
      </c>
      <c r="B574" s="34" t="s">
        <v>520</v>
      </c>
      <c r="C574" s="35">
        <v>1500</v>
      </c>
      <c r="D574" s="35" t="s">
        <v>156</v>
      </c>
      <c r="E574" s="37" t="s">
        <v>477</v>
      </c>
      <c r="F574" s="37"/>
      <c r="G574" s="35">
        <v>1500</v>
      </c>
    </row>
    <row r="575" spans="1:7" ht="11.25" hidden="1" customHeight="1" x14ac:dyDescent="0.3">
      <c r="A575" s="31">
        <v>46132</v>
      </c>
      <c r="B575" s="34" t="s">
        <v>530</v>
      </c>
      <c r="C575" s="35">
        <v>1000</v>
      </c>
      <c r="D575" s="35" t="s">
        <v>156</v>
      </c>
      <c r="E575" s="37" t="s">
        <v>477</v>
      </c>
      <c r="F575" s="37"/>
      <c r="G575" s="35">
        <v>1000</v>
      </c>
    </row>
    <row r="576" spans="1:7" ht="11.25" hidden="1" customHeight="1" x14ac:dyDescent="0.3">
      <c r="A576" s="31">
        <v>46139</v>
      </c>
      <c r="B576" s="34" t="s">
        <v>499</v>
      </c>
      <c r="C576" s="35">
        <v>5000</v>
      </c>
      <c r="D576" s="35" t="s">
        <v>447</v>
      </c>
      <c r="E576" s="37" t="s">
        <v>478</v>
      </c>
      <c r="F576" s="37"/>
      <c r="G576" s="35">
        <v>5000</v>
      </c>
    </row>
    <row r="577" spans="1:7" ht="11.25" hidden="1" customHeight="1" x14ac:dyDescent="0.3">
      <c r="A577" s="31">
        <v>46139</v>
      </c>
      <c r="B577" s="34" t="s">
        <v>531</v>
      </c>
      <c r="C577" s="35">
        <v>2000</v>
      </c>
      <c r="D577" s="35" t="s">
        <v>203</v>
      </c>
      <c r="E577" s="37" t="s">
        <v>478</v>
      </c>
      <c r="F577" s="37"/>
      <c r="G577" s="35">
        <v>2000</v>
      </c>
    </row>
    <row r="578" spans="1:7" ht="11.25" hidden="1" customHeight="1" x14ac:dyDescent="0.3">
      <c r="A578" s="31">
        <v>46139</v>
      </c>
      <c r="B578" s="34" t="s">
        <v>532</v>
      </c>
      <c r="C578" s="35">
        <v>1000</v>
      </c>
      <c r="D578" s="35" t="s">
        <v>95</v>
      </c>
      <c r="E578" s="37" t="s">
        <v>478</v>
      </c>
      <c r="F578" s="37"/>
      <c r="G578" s="35">
        <v>1000</v>
      </c>
    </row>
    <row r="579" spans="1:7" ht="11.25" hidden="1" customHeight="1" x14ac:dyDescent="0.3">
      <c r="A579" s="31">
        <v>46139</v>
      </c>
      <c r="B579" s="34" t="s">
        <v>533</v>
      </c>
      <c r="C579" s="35">
        <v>1000</v>
      </c>
      <c r="D579" s="35" t="s">
        <v>216</v>
      </c>
      <c r="E579" s="37" t="s">
        <v>478</v>
      </c>
      <c r="F579" s="37" t="s">
        <v>546</v>
      </c>
      <c r="G579" s="35">
        <v>0</v>
      </c>
    </row>
    <row r="580" spans="1:7" ht="11.25" hidden="1" customHeight="1" x14ac:dyDescent="0.3">
      <c r="A580" s="31">
        <v>46149</v>
      </c>
      <c r="B580" s="34" t="s">
        <v>344</v>
      </c>
      <c r="C580" s="35">
        <v>150</v>
      </c>
      <c r="D580" s="35" t="s">
        <v>95</v>
      </c>
      <c r="E580" s="37" t="s">
        <v>478</v>
      </c>
      <c r="F580" s="37"/>
      <c r="G580" s="35">
        <v>150</v>
      </c>
    </row>
    <row r="581" spans="1:7" ht="11.25" hidden="1" customHeight="1" x14ac:dyDescent="0.3">
      <c r="A581" s="31">
        <v>46149</v>
      </c>
      <c r="B581" s="34" t="s">
        <v>312</v>
      </c>
      <c r="C581" s="35">
        <v>3000</v>
      </c>
      <c r="D581" s="35" t="s">
        <v>176</v>
      </c>
      <c r="E581" s="37" t="s">
        <v>478</v>
      </c>
      <c r="F581" s="37"/>
      <c r="G581" s="35">
        <v>3000</v>
      </c>
    </row>
    <row r="582" spans="1:7" ht="11.25" customHeight="1" x14ac:dyDescent="0.3">
      <c r="A582" s="31">
        <v>46146</v>
      </c>
      <c r="B582" s="34" t="s">
        <v>190</v>
      </c>
      <c r="C582" s="35">
        <v>12000</v>
      </c>
      <c r="D582" s="35" t="s">
        <v>149</v>
      </c>
      <c r="E582" s="37" t="s">
        <v>477</v>
      </c>
      <c r="F582" s="37"/>
      <c r="G582" s="35">
        <v>12000</v>
      </c>
    </row>
    <row r="583" spans="1:7" ht="11.25" hidden="1" customHeight="1" x14ac:dyDescent="0.3">
      <c r="A583" s="31">
        <v>46149</v>
      </c>
      <c r="B583" s="34" t="s">
        <v>536</v>
      </c>
      <c r="C583" s="35">
        <v>500</v>
      </c>
      <c r="D583" s="35" t="s">
        <v>285</v>
      </c>
      <c r="E583" s="37" t="s">
        <v>477</v>
      </c>
      <c r="F583" s="37"/>
      <c r="G583" s="35">
        <v>500</v>
      </c>
    </row>
    <row r="584" spans="1:7" ht="11.25" hidden="1" customHeight="1" x14ac:dyDescent="0.3">
      <c r="A584" s="31">
        <v>46149</v>
      </c>
      <c r="B584" s="34" t="s">
        <v>537</v>
      </c>
      <c r="C584" s="35">
        <v>1000</v>
      </c>
      <c r="D584" s="35" t="s">
        <v>285</v>
      </c>
      <c r="E584" s="37" t="s">
        <v>477</v>
      </c>
      <c r="F584" s="37"/>
      <c r="G584" s="35">
        <v>1000</v>
      </c>
    </row>
    <row r="585" spans="1:7" ht="11.25" hidden="1" customHeight="1" x14ac:dyDescent="0.3">
      <c r="A585" s="31">
        <v>46149</v>
      </c>
      <c r="B585" s="34" t="s">
        <v>421</v>
      </c>
      <c r="C585" s="35">
        <v>500</v>
      </c>
      <c r="D585" s="35" t="s">
        <v>285</v>
      </c>
      <c r="E585" s="37" t="s">
        <v>477</v>
      </c>
      <c r="F585" s="37"/>
      <c r="G585" s="35">
        <v>500</v>
      </c>
    </row>
    <row r="586" spans="1:7" ht="11.25" customHeight="1" x14ac:dyDescent="0.3">
      <c r="A586" s="31">
        <v>46149</v>
      </c>
      <c r="B586" s="34" t="s">
        <v>190</v>
      </c>
      <c r="C586" s="35">
        <v>13000</v>
      </c>
      <c r="D586" s="35" t="s">
        <v>149</v>
      </c>
      <c r="E586" s="37" t="s">
        <v>477</v>
      </c>
      <c r="F586" s="37"/>
      <c r="G586" s="35">
        <v>13000</v>
      </c>
    </row>
    <row r="587" spans="1:7" ht="11.25" hidden="1" customHeight="1" x14ac:dyDescent="0.3">
      <c r="A587" s="31">
        <v>46152</v>
      </c>
      <c r="B587" s="34" t="s">
        <v>541</v>
      </c>
      <c r="C587" s="35">
        <v>1000</v>
      </c>
      <c r="D587" s="35" t="s">
        <v>133</v>
      </c>
      <c r="E587" s="37" t="s">
        <v>478</v>
      </c>
      <c r="F587" s="37"/>
      <c r="G587" s="35">
        <v>1000</v>
      </c>
    </row>
    <row r="588" spans="1:7" ht="11.25" hidden="1" customHeight="1" x14ac:dyDescent="0.3">
      <c r="A588" s="31">
        <v>46152</v>
      </c>
      <c r="B588" s="34" t="s">
        <v>128</v>
      </c>
      <c r="C588" s="35">
        <v>3000</v>
      </c>
      <c r="D588" s="35" t="s">
        <v>133</v>
      </c>
      <c r="E588" s="37" t="s">
        <v>478</v>
      </c>
      <c r="F588" s="37"/>
      <c r="G588" s="35">
        <v>3000</v>
      </c>
    </row>
    <row r="589" spans="1:7" ht="11.25" hidden="1" customHeight="1" x14ac:dyDescent="0.3">
      <c r="A589" s="31">
        <v>46153</v>
      </c>
      <c r="B589" s="34" t="s">
        <v>543</v>
      </c>
      <c r="C589" s="35">
        <v>9000</v>
      </c>
      <c r="D589" s="35" t="s">
        <v>544</v>
      </c>
      <c r="E589" s="37" t="s">
        <v>477</v>
      </c>
      <c r="F589" s="37" t="s">
        <v>546</v>
      </c>
      <c r="G589" s="35">
        <v>0</v>
      </c>
    </row>
    <row r="590" spans="1:7" ht="11.25" hidden="1" customHeight="1" x14ac:dyDescent="0.3">
      <c r="A590" s="31">
        <v>46153</v>
      </c>
      <c r="B590" s="34" t="s">
        <v>37</v>
      </c>
      <c r="C590" s="35">
        <v>1000</v>
      </c>
      <c r="D590" s="35" t="s">
        <v>127</v>
      </c>
      <c r="E590" s="37" t="s">
        <v>478</v>
      </c>
      <c r="F590" s="37"/>
      <c r="G590" s="35">
        <v>1000</v>
      </c>
    </row>
    <row r="591" spans="1:7" ht="11.25" hidden="1" customHeight="1" x14ac:dyDescent="0.3">
      <c r="A591" s="31">
        <v>46155</v>
      </c>
      <c r="B591" s="34" t="s">
        <v>128</v>
      </c>
      <c r="C591" s="35">
        <v>2000</v>
      </c>
      <c r="D591" s="35" t="s">
        <v>133</v>
      </c>
      <c r="E591" s="37" t="s">
        <v>478</v>
      </c>
      <c r="F591" s="37"/>
      <c r="G591" s="35">
        <v>2000</v>
      </c>
    </row>
    <row r="592" spans="1:7" ht="11.25" hidden="1" customHeight="1" x14ac:dyDescent="0.3">
      <c r="A592" s="31">
        <v>46167</v>
      </c>
      <c r="B592" s="34" t="s">
        <v>547</v>
      </c>
      <c r="C592" s="35">
        <v>2000</v>
      </c>
      <c r="D592" s="35" t="s">
        <v>164</v>
      </c>
      <c r="E592" s="37" t="s">
        <v>477</v>
      </c>
      <c r="F592" s="37" t="s">
        <v>554</v>
      </c>
      <c r="G592" s="35">
        <v>0</v>
      </c>
    </row>
    <row r="593" spans="1:7" ht="11.25" hidden="1" customHeight="1" x14ac:dyDescent="0.3">
      <c r="A593" s="31">
        <v>46167</v>
      </c>
      <c r="B593" s="34" t="s">
        <v>548</v>
      </c>
      <c r="C593" s="35">
        <v>2000</v>
      </c>
      <c r="D593" s="35" t="s">
        <v>164</v>
      </c>
      <c r="E593" s="37" t="s">
        <v>477</v>
      </c>
      <c r="F593" s="37" t="s">
        <v>554</v>
      </c>
      <c r="G593" s="35">
        <v>0</v>
      </c>
    </row>
    <row r="594" spans="1:7" ht="11.25" hidden="1" customHeight="1" x14ac:dyDescent="0.3">
      <c r="A594" s="31">
        <v>46167</v>
      </c>
      <c r="B594" s="34" t="s">
        <v>549</v>
      </c>
      <c r="C594" s="35">
        <v>10000</v>
      </c>
      <c r="D594" s="35" t="s">
        <v>164</v>
      </c>
      <c r="E594" s="37" t="s">
        <v>477</v>
      </c>
      <c r="F594" s="37" t="s">
        <v>554</v>
      </c>
      <c r="G594" s="35">
        <v>0</v>
      </c>
    </row>
    <row r="595" spans="1:7" ht="11.25" hidden="1" customHeight="1" x14ac:dyDescent="0.3">
      <c r="A595" s="31">
        <v>46167</v>
      </c>
      <c r="B595" s="34" t="s">
        <v>550</v>
      </c>
      <c r="C595" s="35">
        <v>6000</v>
      </c>
      <c r="D595" s="35" t="s">
        <v>164</v>
      </c>
      <c r="E595" s="37" t="s">
        <v>477</v>
      </c>
      <c r="F595" s="37" t="s">
        <v>554</v>
      </c>
      <c r="G595" s="35">
        <v>0</v>
      </c>
    </row>
    <row r="596" spans="1:7" ht="11.25" hidden="1" customHeight="1" x14ac:dyDescent="0.3">
      <c r="A596" s="31">
        <v>46167</v>
      </c>
      <c r="B596" s="34" t="s">
        <v>551</v>
      </c>
      <c r="C596" s="35">
        <v>10000</v>
      </c>
      <c r="D596" s="35" t="s">
        <v>118</v>
      </c>
      <c r="E596" s="37" t="s">
        <v>477</v>
      </c>
      <c r="F596" s="37"/>
      <c r="G596" s="35">
        <v>10000</v>
      </c>
    </row>
    <row r="597" spans="1:7" ht="11.25" hidden="1" customHeight="1" x14ac:dyDescent="0.3">
      <c r="A597" s="31">
        <v>46167</v>
      </c>
      <c r="B597" s="34" t="s">
        <v>552</v>
      </c>
      <c r="C597" s="35">
        <v>1000</v>
      </c>
      <c r="D597" s="35" t="s">
        <v>101</v>
      </c>
      <c r="E597" s="37" t="s">
        <v>477</v>
      </c>
      <c r="F597" s="37"/>
      <c r="G597" s="35">
        <v>1000</v>
      </c>
    </row>
    <row r="598" spans="1:7" ht="11.25" hidden="1" customHeight="1" x14ac:dyDescent="0.3">
      <c r="A598" s="31">
        <v>46167</v>
      </c>
      <c r="B598" s="34" t="s">
        <v>553</v>
      </c>
      <c r="C598" s="35">
        <v>300</v>
      </c>
      <c r="D598" s="35" t="s">
        <v>285</v>
      </c>
      <c r="E598" s="37" t="s">
        <v>477</v>
      </c>
      <c r="F598" s="37"/>
      <c r="G598" s="35">
        <v>300</v>
      </c>
    </row>
    <row r="599" spans="1:7" ht="11.25" hidden="1" customHeight="1" x14ac:dyDescent="0.3">
      <c r="A599" s="31">
        <v>46167</v>
      </c>
      <c r="B599" s="34" t="s">
        <v>521</v>
      </c>
      <c r="C599" s="35">
        <v>700</v>
      </c>
      <c r="D599" s="35" t="s">
        <v>285</v>
      </c>
      <c r="E599" s="37" t="s">
        <v>477</v>
      </c>
      <c r="F599" s="37"/>
      <c r="G599" s="35">
        <v>700</v>
      </c>
    </row>
    <row r="600" spans="1:7" ht="11.25" hidden="1" customHeight="1" x14ac:dyDescent="0.3">
      <c r="A600" s="31">
        <v>46167</v>
      </c>
      <c r="B600" s="34" t="s">
        <v>521</v>
      </c>
      <c r="C600" s="35">
        <v>1500</v>
      </c>
      <c r="D600" s="35" t="s">
        <v>285</v>
      </c>
      <c r="E600" s="37" t="s">
        <v>477</v>
      </c>
      <c r="F600" s="37"/>
      <c r="G600" s="35">
        <v>1500</v>
      </c>
    </row>
    <row r="601" spans="1:7" ht="11.25" hidden="1" customHeight="1" x14ac:dyDescent="0.3">
      <c r="A601" s="31">
        <v>46167</v>
      </c>
      <c r="B601" s="34" t="s">
        <v>64</v>
      </c>
      <c r="C601" s="35">
        <v>6000</v>
      </c>
      <c r="D601" s="35" t="s">
        <v>285</v>
      </c>
      <c r="E601" s="37" t="s">
        <v>477</v>
      </c>
      <c r="F601" s="37"/>
      <c r="G601" s="35">
        <v>6000</v>
      </c>
    </row>
    <row r="602" spans="1:7" ht="11.25" customHeight="1" x14ac:dyDescent="0.3">
      <c r="A602" s="31">
        <v>46167</v>
      </c>
      <c r="B602" s="34" t="s">
        <v>230</v>
      </c>
      <c r="C602" s="35">
        <v>10000</v>
      </c>
      <c r="D602" s="35" t="s">
        <v>149</v>
      </c>
      <c r="E602" s="37" t="s">
        <v>477</v>
      </c>
      <c r="F602" s="37"/>
      <c r="G602" s="35">
        <v>12000</v>
      </c>
    </row>
    <row r="603" spans="1:7" ht="11.25" hidden="1" customHeight="1" x14ac:dyDescent="0.3">
      <c r="A603" s="31">
        <v>46171</v>
      </c>
      <c r="B603" s="34" t="s">
        <v>499</v>
      </c>
      <c r="C603" s="35">
        <v>2000</v>
      </c>
      <c r="D603" s="35" t="s">
        <v>447</v>
      </c>
      <c r="E603" s="37" t="s">
        <v>478</v>
      </c>
      <c r="F603" s="37"/>
      <c r="G603" s="35">
        <v>2000</v>
      </c>
    </row>
    <row r="604" spans="1:7" ht="11.25" hidden="1" customHeight="1" x14ac:dyDescent="0.3">
      <c r="A604" s="31">
        <v>46171</v>
      </c>
      <c r="B604" s="34" t="s">
        <v>557</v>
      </c>
      <c r="C604" s="35">
        <v>3000</v>
      </c>
      <c r="D604" s="35" t="s">
        <v>447</v>
      </c>
      <c r="E604" s="37" t="s">
        <v>478</v>
      </c>
      <c r="F604" s="37"/>
      <c r="G604" s="35">
        <v>3000</v>
      </c>
    </row>
    <row r="605" spans="1:7" ht="11.25" hidden="1" customHeight="1" x14ac:dyDescent="0.3">
      <c r="A605" s="31">
        <v>46171</v>
      </c>
      <c r="B605" s="34" t="s">
        <v>533</v>
      </c>
      <c r="C605" s="35">
        <v>2000</v>
      </c>
      <c r="D605" s="35" t="s">
        <v>216</v>
      </c>
      <c r="E605" s="37" t="s">
        <v>478</v>
      </c>
      <c r="F605" s="37"/>
      <c r="G605" s="35">
        <v>2000</v>
      </c>
    </row>
    <row r="606" spans="1:7" ht="11.25" hidden="1" customHeight="1" x14ac:dyDescent="0.3">
      <c r="A606" s="31">
        <v>46171</v>
      </c>
      <c r="B606" s="34" t="s">
        <v>363</v>
      </c>
      <c r="C606" s="35">
        <v>100</v>
      </c>
      <c r="D606" s="35" t="s">
        <v>447</v>
      </c>
      <c r="E606" s="37" t="s">
        <v>478</v>
      </c>
      <c r="F606" s="37"/>
      <c r="G606" s="35">
        <v>100</v>
      </c>
    </row>
    <row r="607" spans="1:7" ht="11.25" hidden="1" customHeight="1" x14ac:dyDescent="0.3">
      <c r="A607" s="31">
        <v>46171</v>
      </c>
      <c r="B607" s="34" t="s">
        <v>558</v>
      </c>
      <c r="C607" s="35">
        <v>1500</v>
      </c>
      <c r="D607" s="35" t="s">
        <v>133</v>
      </c>
      <c r="E607" s="37" t="s">
        <v>478</v>
      </c>
      <c r="F607" s="37"/>
      <c r="G607" s="35">
        <v>1500</v>
      </c>
    </row>
    <row r="608" spans="1:7" ht="11.25" hidden="1" customHeight="1" x14ac:dyDescent="0.3">
      <c r="A608" s="31">
        <v>46171</v>
      </c>
      <c r="B608" s="34" t="s">
        <v>559</v>
      </c>
      <c r="C608" s="35">
        <v>1500</v>
      </c>
      <c r="D608" s="35" t="s">
        <v>52</v>
      </c>
      <c r="E608" s="37" t="s">
        <v>478</v>
      </c>
      <c r="F608" s="37"/>
      <c r="G608" s="35">
        <v>1500</v>
      </c>
    </row>
    <row r="609" spans="1:9" ht="11.25" hidden="1" customHeight="1" x14ac:dyDescent="0.3">
      <c r="A609" s="31">
        <v>46174</v>
      </c>
      <c r="B609" s="34" t="s">
        <v>512</v>
      </c>
      <c r="C609" s="35">
        <v>1400</v>
      </c>
      <c r="D609" s="35" t="s">
        <v>285</v>
      </c>
      <c r="E609" s="37" t="s">
        <v>477</v>
      </c>
      <c r="F609" s="37"/>
      <c r="G609" s="35">
        <v>1400</v>
      </c>
    </row>
    <row r="610" spans="1:9" ht="11.25" hidden="1" customHeight="1" x14ac:dyDescent="0.3">
      <c r="A610" s="31">
        <v>46176</v>
      </c>
      <c r="B610" s="34" t="s">
        <v>562</v>
      </c>
      <c r="C610" s="35">
        <v>7000</v>
      </c>
      <c r="D610" s="35" t="s">
        <v>164</v>
      </c>
      <c r="E610" s="37" t="s">
        <v>477</v>
      </c>
      <c r="F610" s="37"/>
      <c r="G610" s="35">
        <v>7000</v>
      </c>
    </row>
    <row r="611" spans="1:9" ht="11.25" hidden="1" customHeight="1" x14ac:dyDescent="0.3">
      <c r="A611" s="31">
        <v>46176</v>
      </c>
      <c r="B611" s="34" t="s">
        <v>563</v>
      </c>
      <c r="C611" s="35">
        <v>4500</v>
      </c>
      <c r="D611" s="35" t="s">
        <v>164</v>
      </c>
      <c r="E611" s="37" t="s">
        <v>477</v>
      </c>
      <c r="F611" s="37"/>
      <c r="G611" s="35">
        <v>4500</v>
      </c>
    </row>
    <row r="612" spans="1:9" ht="11.25" hidden="1" customHeight="1" x14ac:dyDescent="0.3">
      <c r="A612" s="31">
        <v>46176</v>
      </c>
      <c r="B612" s="34" t="s">
        <v>564</v>
      </c>
      <c r="C612" s="35">
        <v>4500</v>
      </c>
      <c r="D612" s="35" t="s">
        <v>164</v>
      </c>
      <c r="E612" s="37" t="s">
        <v>477</v>
      </c>
      <c r="F612" s="37"/>
      <c r="G612" s="35">
        <v>4500</v>
      </c>
    </row>
    <row r="613" spans="1:9" ht="11.25" hidden="1" customHeight="1" x14ac:dyDescent="0.3">
      <c r="A613" s="31">
        <v>46176</v>
      </c>
      <c r="B613" s="34" t="s">
        <v>565</v>
      </c>
      <c r="C613" s="35">
        <v>4000</v>
      </c>
      <c r="D613" s="35" t="s">
        <v>164</v>
      </c>
      <c r="E613" s="37" t="s">
        <v>477</v>
      </c>
      <c r="F613" s="37"/>
      <c r="G613" s="35">
        <v>4000</v>
      </c>
    </row>
    <row r="614" spans="1:9" ht="11.25" hidden="1" customHeight="1" x14ac:dyDescent="0.3">
      <c r="A614" s="31">
        <v>46176</v>
      </c>
      <c r="B614" s="34" t="s">
        <v>566</v>
      </c>
      <c r="C614" s="35">
        <v>5000</v>
      </c>
      <c r="D614" s="35" t="s">
        <v>164</v>
      </c>
      <c r="E614" s="37" t="s">
        <v>477</v>
      </c>
      <c r="F614" s="37"/>
      <c r="G614" s="35">
        <v>5000</v>
      </c>
    </row>
    <row r="615" spans="1:9" ht="11.25" hidden="1" customHeight="1" x14ac:dyDescent="0.3">
      <c r="A615" s="31">
        <v>46176</v>
      </c>
      <c r="B615" s="34" t="s">
        <v>567</v>
      </c>
      <c r="C615" s="35">
        <v>12000</v>
      </c>
      <c r="D615" s="35" t="s">
        <v>164</v>
      </c>
      <c r="E615" s="37" t="s">
        <v>477</v>
      </c>
      <c r="F615" s="37"/>
      <c r="G615" s="35">
        <v>12000</v>
      </c>
    </row>
    <row r="616" spans="1:9" ht="11.25" customHeight="1" x14ac:dyDescent="0.3">
      <c r="A616" s="31">
        <v>46176</v>
      </c>
      <c r="B616" s="34" t="s">
        <v>568</v>
      </c>
      <c r="C616" s="35">
        <v>12000</v>
      </c>
      <c r="D616" s="35" t="s">
        <v>149</v>
      </c>
      <c r="E616" s="37" t="s">
        <v>477</v>
      </c>
      <c r="F616" s="37"/>
      <c r="G616" s="35">
        <v>12000</v>
      </c>
      <c r="I616" t="s">
        <v>561</v>
      </c>
    </row>
    <row r="617" spans="1:9" ht="11.25" customHeight="1" x14ac:dyDescent="0.3">
      <c r="A617" s="31">
        <v>46176</v>
      </c>
      <c r="B617" s="34" t="s">
        <v>569</v>
      </c>
      <c r="C617" s="63">
        <v>12000</v>
      </c>
      <c r="D617" s="35" t="s">
        <v>149</v>
      </c>
      <c r="E617" s="37" t="s">
        <v>477</v>
      </c>
      <c r="F617" s="37"/>
      <c r="G617" s="35">
        <v>12000</v>
      </c>
    </row>
    <row r="618" spans="1:9" ht="11.25" hidden="1" customHeight="1" x14ac:dyDescent="0.3">
      <c r="A618" s="31"/>
      <c r="B618" s="34"/>
      <c r="C618" s="63"/>
      <c r="D618" s="35"/>
      <c r="E618" s="37"/>
      <c r="F618" s="37"/>
      <c r="G618" s="35"/>
    </row>
    <row r="619" spans="1:9" ht="11.25" hidden="1" customHeight="1" x14ac:dyDescent="0.3">
      <c r="A619" s="31"/>
      <c r="B619" s="34"/>
      <c r="C619" s="63"/>
      <c r="D619" s="35"/>
      <c r="E619" s="37"/>
      <c r="F619" s="37"/>
      <c r="G619" s="35"/>
    </row>
    <row r="620" spans="1:9" ht="11.25" hidden="1" customHeight="1" x14ac:dyDescent="0.3">
      <c r="A620" s="31"/>
      <c r="B620" s="34"/>
      <c r="C620" s="63"/>
      <c r="D620" s="35"/>
      <c r="E620" s="37"/>
      <c r="F620" s="37"/>
      <c r="G620" s="35"/>
    </row>
    <row r="621" spans="1:9" ht="10.5" hidden="1" customHeight="1" x14ac:dyDescent="0.3">
      <c r="A621" s="42"/>
      <c r="B621" s="56"/>
      <c r="C621" s="63"/>
      <c r="D621" s="35"/>
      <c r="E621" s="37"/>
      <c r="F621" s="37"/>
      <c r="G621" s="36"/>
      <c r="H621" t="s">
        <v>267</v>
      </c>
      <c r="I621" t="s">
        <v>221</v>
      </c>
    </row>
    <row r="622" spans="1:9" ht="12.75" hidden="1" customHeight="1" x14ac:dyDescent="0.3">
      <c r="A622" s="74" t="s">
        <v>268</v>
      </c>
      <c r="B622" s="75"/>
      <c r="C622" s="75"/>
      <c r="D622" s="75"/>
      <c r="E622" s="76"/>
      <c r="F622" s="30"/>
      <c r="G622" s="30">
        <f>SUM(G4:G621)</f>
        <v>234850</v>
      </c>
    </row>
    <row r="623" spans="1:9" hidden="1" x14ac:dyDescent="0.3">
      <c r="A623" s="71" t="s">
        <v>261</v>
      </c>
      <c r="B623" s="72"/>
      <c r="C623" s="72"/>
      <c r="D623" s="72"/>
      <c r="E623" s="72"/>
      <c r="F623" s="73"/>
      <c r="G623" s="41">
        <v>135275</v>
      </c>
      <c r="H623" t="s">
        <v>267</v>
      </c>
    </row>
    <row r="624" spans="1:9" hidden="1" x14ac:dyDescent="0.3">
      <c r="A624" s="71" t="s">
        <v>252</v>
      </c>
      <c r="B624" s="72"/>
      <c r="C624" s="72"/>
      <c r="D624" s="72"/>
      <c r="E624" s="72"/>
      <c r="F624" s="73"/>
      <c r="G624" s="4">
        <f>G622+G623</f>
        <v>370125</v>
      </c>
    </row>
  </sheetData>
  <autoFilter ref="A3:F624" xr:uid="{00000000-0009-0000-0000-000000000000}">
    <filterColumn colId="3">
      <filters>
        <filter val="Mme Justina"/>
      </filters>
    </filterColumn>
  </autoFilter>
  <mergeCells count="28">
    <mergeCell ref="I2:K2"/>
    <mergeCell ref="I7:K7"/>
    <mergeCell ref="I9:K9"/>
    <mergeCell ref="A2:G2"/>
    <mergeCell ref="A78:B78"/>
    <mergeCell ref="A19:A20"/>
    <mergeCell ref="A21:B21"/>
    <mergeCell ref="A22:A23"/>
    <mergeCell ref="A24:B24"/>
    <mergeCell ref="A25:A32"/>
    <mergeCell ref="A33:B33"/>
    <mergeCell ref="A34:A44"/>
    <mergeCell ref="A45:B45"/>
    <mergeCell ref="A46:A57"/>
    <mergeCell ref="A58:B58"/>
    <mergeCell ref="A59:A77"/>
    <mergeCell ref="A6:A12"/>
    <mergeCell ref="A79:A104"/>
    <mergeCell ref="A105:B105"/>
    <mergeCell ref="A106:A126"/>
    <mergeCell ref="A13:B13"/>
    <mergeCell ref="A14:A15"/>
    <mergeCell ref="A16:B16"/>
    <mergeCell ref="A623:F623"/>
    <mergeCell ref="A624:F624"/>
    <mergeCell ref="A622:E622"/>
    <mergeCell ref="A127:B127"/>
    <mergeCell ref="A18:B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7"/>
  <sheetViews>
    <sheetView tabSelected="1" topLeftCell="A89" zoomScale="96" zoomScaleNormal="96" workbookViewId="0">
      <selection activeCell="E111" sqref="E111"/>
    </sheetView>
  </sheetViews>
  <sheetFormatPr baseColWidth="10" defaultRowHeight="14.4" x14ac:dyDescent="0.3"/>
  <cols>
    <col min="1" max="1" width="13.88671875" customWidth="1"/>
    <col min="2" max="2" width="26.109375" customWidth="1"/>
    <col min="3" max="3" width="13.88671875" customWidth="1"/>
    <col min="4" max="4" width="16.109375" customWidth="1"/>
  </cols>
  <sheetData>
    <row r="1" spans="1:6" x14ac:dyDescent="0.3">
      <c r="A1" s="90" t="s">
        <v>143</v>
      </c>
      <c r="B1" s="90"/>
      <c r="C1" s="90"/>
      <c r="D1" s="90"/>
      <c r="E1" s="5"/>
      <c r="F1" s="5"/>
    </row>
    <row r="2" spans="1:6" ht="34.5" customHeight="1" x14ac:dyDescent="0.3">
      <c r="A2" s="6" t="s">
        <v>147</v>
      </c>
      <c r="B2" s="13" t="s">
        <v>75</v>
      </c>
      <c r="C2" s="6" t="s">
        <v>144</v>
      </c>
      <c r="D2" s="13" t="s">
        <v>145</v>
      </c>
      <c r="E2" s="47"/>
    </row>
    <row r="3" spans="1:6" ht="15.6" x14ac:dyDescent="0.3">
      <c r="A3" s="7">
        <v>45827</v>
      </c>
      <c r="B3" s="2" t="s">
        <v>96</v>
      </c>
      <c r="C3" s="2">
        <v>18800</v>
      </c>
      <c r="D3" s="2">
        <v>1800</v>
      </c>
      <c r="E3" s="47"/>
    </row>
    <row r="4" spans="1:6" ht="15.6" x14ac:dyDescent="0.3">
      <c r="A4" s="7">
        <v>45828</v>
      </c>
      <c r="B4" s="8" t="s">
        <v>94</v>
      </c>
      <c r="C4" s="2">
        <v>95500</v>
      </c>
      <c r="D4" s="2">
        <v>0</v>
      </c>
      <c r="E4" s="47" t="s">
        <v>277</v>
      </c>
    </row>
    <row r="5" spans="1:6" ht="15.6" x14ac:dyDescent="0.3">
      <c r="A5" s="7">
        <v>45828</v>
      </c>
      <c r="B5" s="2" t="s">
        <v>97</v>
      </c>
      <c r="C5" s="2">
        <v>12000</v>
      </c>
      <c r="D5" s="2">
        <v>1000</v>
      </c>
      <c r="E5" s="47"/>
    </row>
    <row r="6" spans="1:6" ht="15.6" x14ac:dyDescent="0.3">
      <c r="A6" s="7">
        <v>45828</v>
      </c>
      <c r="B6" s="2" t="s">
        <v>98</v>
      </c>
      <c r="C6" s="2">
        <v>12000</v>
      </c>
      <c r="D6" s="2">
        <v>0</v>
      </c>
      <c r="E6" s="47" t="s">
        <v>277</v>
      </c>
    </row>
    <row r="7" spans="1:6" ht="15.6" x14ac:dyDescent="0.3">
      <c r="A7" s="7">
        <v>45831</v>
      </c>
      <c r="B7" s="2" t="s">
        <v>100</v>
      </c>
      <c r="C7" s="2">
        <v>6000</v>
      </c>
      <c r="D7" s="2">
        <v>600</v>
      </c>
      <c r="E7" s="47"/>
    </row>
    <row r="8" spans="1:6" ht="15.6" x14ac:dyDescent="0.3">
      <c r="A8" s="7">
        <v>45832</v>
      </c>
      <c r="B8" s="2" t="s">
        <v>102</v>
      </c>
      <c r="C8" s="2">
        <v>3000</v>
      </c>
      <c r="D8" s="2">
        <v>300</v>
      </c>
      <c r="E8" s="47"/>
    </row>
    <row r="9" spans="1:6" ht="15.6" x14ac:dyDescent="0.3">
      <c r="A9" s="7">
        <v>45834</v>
      </c>
      <c r="B9" s="8" t="s">
        <v>93</v>
      </c>
      <c r="C9" s="2">
        <v>10000</v>
      </c>
      <c r="D9" s="2">
        <v>1000</v>
      </c>
      <c r="E9" s="47"/>
    </row>
    <row r="10" spans="1:6" ht="15.6" x14ac:dyDescent="0.3">
      <c r="A10" s="7">
        <v>45834</v>
      </c>
      <c r="B10" s="2" t="s">
        <v>101</v>
      </c>
      <c r="C10" s="2">
        <v>60500</v>
      </c>
      <c r="D10" s="2">
        <v>0</v>
      </c>
      <c r="E10" s="47"/>
    </row>
    <row r="11" spans="1:6" ht="15.6" x14ac:dyDescent="0.3">
      <c r="A11" s="9">
        <v>45843</v>
      </c>
      <c r="B11" s="2" t="s">
        <v>154</v>
      </c>
      <c r="C11" s="2">
        <v>22000</v>
      </c>
      <c r="D11" s="2">
        <v>2000</v>
      </c>
      <c r="E11" s="47"/>
    </row>
    <row r="12" spans="1:6" ht="15.6" x14ac:dyDescent="0.3">
      <c r="A12" s="10">
        <v>45848</v>
      </c>
      <c r="B12" s="2" t="s">
        <v>152</v>
      </c>
      <c r="C12" s="2">
        <v>41000</v>
      </c>
      <c r="D12" s="2">
        <v>4100</v>
      </c>
      <c r="E12" s="47"/>
    </row>
    <row r="13" spans="1:6" ht="15.6" x14ac:dyDescent="0.3">
      <c r="A13" s="7">
        <v>45853</v>
      </c>
      <c r="B13" s="2" t="s">
        <v>123</v>
      </c>
      <c r="C13" s="2">
        <v>11000</v>
      </c>
      <c r="D13" s="2">
        <v>1100</v>
      </c>
      <c r="E13" s="47"/>
    </row>
    <row r="14" spans="1:6" ht="15.6" x14ac:dyDescent="0.3">
      <c r="A14" s="7">
        <v>45854</v>
      </c>
      <c r="B14" s="2" t="s">
        <v>159</v>
      </c>
      <c r="C14" s="2">
        <v>4500</v>
      </c>
      <c r="D14" s="2">
        <v>450</v>
      </c>
      <c r="E14" s="47"/>
    </row>
    <row r="15" spans="1:6" ht="15.6" x14ac:dyDescent="0.3">
      <c r="A15" s="7">
        <v>45855</v>
      </c>
      <c r="B15" s="2" t="s">
        <v>99</v>
      </c>
      <c r="C15" s="2">
        <v>27000</v>
      </c>
      <c r="D15" s="2">
        <v>2700</v>
      </c>
      <c r="E15" s="47"/>
    </row>
    <row r="16" spans="1:6" ht="15.6" x14ac:dyDescent="0.3">
      <c r="A16" s="7">
        <v>45825</v>
      </c>
      <c r="B16" s="2" t="s">
        <v>122</v>
      </c>
      <c r="C16" s="2">
        <v>2000</v>
      </c>
      <c r="D16" s="2">
        <v>200</v>
      </c>
      <c r="E16" s="47"/>
    </row>
    <row r="17" spans="1:5" ht="15.6" x14ac:dyDescent="0.3">
      <c r="A17" s="7">
        <v>45855</v>
      </c>
      <c r="B17" s="2" t="s">
        <v>165</v>
      </c>
      <c r="C17" s="2">
        <v>7500</v>
      </c>
      <c r="D17" s="2">
        <v>750</v>
      </c>
      <c r="E17" s="47"/>
    </row>
    <row r="18" spans="1:5" ht="15.6" x14ac:dyDescent="0.3">
      <c r="A18" s="7">
        <v>45855</v>
      </c>
      <c r="B18" s="2" t="s">
        <v>100</v>
      </c>
      <c r="C18" s="2">
        <v>5000</v>
      </c>
      <c r="D18" s="2">
        <v>500</v>
      </c>
      <c r="E18" s="47"/>
    </row>
    <row r="19" spans="1:5" ht="15.6" x14ac:dyDescent="0.3">
      <c r="A19" s="7">
        <v>45855</v>
      </c>
      <c r="B19" s="2" t="s">
        <v>133</v>
      </c>
      <c r="C19" s="2">
        <v>22500</v>
      </c>
      <c r="D19" s="2">
        <v>2250</v>
      </c>
      <c r="E19" s="47"/>
    </row>
    <row r="20" spans="1:5" ht="15.6" x14ac:dyDescent="0.3">
      <c r="A20" s="7">
        <v>45856</v>
      </c>
      <c r="B20" s="2" t="s">
        <v>102</v>
      </c>
      <c r="C20" s="2">
        <v>14000</v>
      </c>
      <c r="D20" s="2">
        <v>1400</v>
      </c>
      <c r="E20" s="47"/>
    </row>
    <row r="21" spans="1:5" ht="15.6" x14ac:dyDescent="0.3">
      <c r="A21" s="7">
        <v>45859</v>
      </c>
      <c r="B21" s="2" t="s">
        <v>161</v>
      </c>
      <c r="C21" s="2">
        <v>20000</v>
      </c>
      <c r="D21" s="2">
        <v>2000</v>
      </c>
      <c r="E21" s="47"/>
    </row>
    <row r="22" spans="1:5" ht="15.6" x14ac:dyDescent="0.3">
      <c r="A22" s="7">
        <v>45860</v>
      </c>
      <c r="B22" s="2" t="s">
        <v>179</v>
      </c>
      <c r="C22" s="2">
        <v>52600</v>
      </c>
      <c r="D22" s="2">
        <v>5250</v>
      </c>
      <c r="E22" s="47"/>
    </row>
    <row r="23" spans="1:5" ht="15.6" x14ac:dyDescent="0.3">
      <c r="A23" s="7">
        <v>45867</v>
      </c>
      <c r="B23" s="2" t="s">
        <v>189</v>
      </c>
      <c r="C23" s="2">
        <v>8000</v>
      </c>
      <c r="D23" s="2">
        <v>800</v>
      </c>
      <c r="E23" s="47"/>
    </row>
    <row r="24" spans="1:5" ht="15.6" x14ac:dyDescent="0.3">
      <c r="A24" s="7">
        <v>45868</v>
      </c>
      <c r="B24" s="2" t="s">
        <v>149</v>
      </c>
      <c r="C24" s="2">
        <v>40000</v>
      </c>
      <c r="D24" s="2">
        <v>4000</v>
      </c>
      <c r="E24" s="47" t="s">
        <v>192</v>
      </c>
    </row>
    <row r="25" spans="1:5" ht="15.6" x14ac:dyDescent="0.3">
      <c r="A25" s="7">
        <v>45868</v>
      </c>
      <c r="B25" s="2" t="s">
        <v>194</v>
      </c>
      <c r="C25" s="2">
        <v>15000</v>
      </c>
      <c r="D25" s="2">
        <v>1500</v>
      </c>
      <c r="E25" s="47"/>
    </row>
    <row r="26" spans="1:5" ht="15.6" x14ac:dyDescent="0.3">
      <c r="A26" s="7">
        <v>45869</v>
      </c>
      <c r="B26" s="2" t="s">
        <v>207</v>
      </c>
      <c r="C26" s="2">
        <v>7750</v>
      </c>
      <c r="D26" s="2">
        <v>750</v>
      </c>
      <c r="E26" s="47"/>
    </row>
    <row r="27" spans="1:5" ht="15.6" x14ac:dyDescent="0.3">
      <c r="A27" s="7">
        <v>45894</v>
      </c>
      <c r="B27" s="2" t="s">
        <v>204</v>
      </c>
      <c r="C27" s="2">
        <v>10500</v>
      </c>
      <c r="D27" s="2">
        <v>1000</v>
      </c>
      <c r="E27" s="47"/>
    </row>
    <row r="28" spans="1:5" ht="15.6" x14ac:dyDescent="0.3">
      <c r="A28" s="7">
        <v>45897</v>
      </c>
      <c r="B28" s="2" t="s">
        <v>234</v>
      </c>
      <c r="C28" s="2">
        <v>11000</v>
      </c>
      <c r="D28" s="2">
        <v>1100</v>
      </c>
      <c r="E28" s="47"/>
    </row>
    <row r="29" spans="1:5" ht="15.6" x14ac:dyDescent="0.3">
      <c r="A29" s="7">
        <v>45903</v>
      </c>
      <c r="B29" s="2" t="s">
        <v>133</v>
      </c>
      <c r="C29" s="2">
        <v>18500</v>
      </c>
      <c r="D29" s="2">
        <v>1850</v>
      </c>
      <c r="E29" s="47"/>
    </row>
    <row r="30" spans="1:5" ht="15.6" x14ac:dyDescent="0.3">
      <c r="A30" s="7">
        <v>45904</v>
      </c>
      <c r="B30" s="2" t="s">
        <v>95</v>
      </c>
      <c r="C30" s="2">
        <v>20600</v>
      </c>
      <c r="D30" s="2">
        <v>2050</v>
      </c>
      <c r="E30" s="47"/>
    </row>
    <row r="31" spans="1:5" ht="15.6" x14ac:dyDescent="0.3">
      <c r="A31" s="7">
        <v>45905</v>
      </c>
      <c r="B31" s="2" t="s">
        <v>253</v>
      </c>
      <c r="C31" s="2">
        <v>8000</v>
      </c>
      <c r="D31" s="2">
        <v>800</v>
      </c>
      <c r="E31" s="47"/>
    </row>
    <row r="32" spans="1:5" ht="15.6" x14ac:dyDescent="0.3">
      <c r="A32" s="7">
        <v>45918</v>
      </c>
      <c r="B32" s="2" t="s">
        <v>165</v>
      </c>
      <c r="C32" s="2">
        <v>16000</v>
      </c>
      <c r="D32" s="2">
        <v>1600</v>
      </c>
      <c r="E32" s="47"/>
    </row>
    <row r="33" spans="1:5" ht="15.6" x14ac:dyDescent="0.3">
      <c r="A33" s="7">
        <v>45925</v>
      </c>
      <c r="B33" s="2" t="s">
        <v>207</v>
      </c>
      <c r="C33" s="2">
        <v>21500</v>
      </c>
      <c r="D33" s="2">
        <v>2150</v>
      </c>
      <c r="E33" s="47"/>
    </row>
    <row r="34" spans="1:5" ht="15.6" x14ac:dyDescent="0.3">
      <c r="A34" s="7">
        <v>45929</v>
      </c>
      <c r="B34" s="2" t="s">
        <v>97</v>
      </c>
      <c r="C34" s="2">
        <v>20000</v>
      </c>
      <c r="D34" s="2">
        <v>0</v>
      </c>
      <c r="E34" s="47" t="s">
        <v>277</v>
      </c>
    </row>
    <row r="35" spans="1:5" ht="15.6" x14ac:dyDescent="0.3">
      <c r="A35" s="7">
        <v>45932</v>
      </c>
      <c r="B35" s="2" t="s">
        <v>100</v>
      </c>
      <c r="C35" s="2">
        <v>20000</v>
      </c>
      <c r="D35" s="2">
        <v>2000</v>
      </c>
      <c r="E35" s="47"/>
    </row>
    <row r="36" spans="1:5" ht="15.6" x14ac:dyDescent="0.3">
      <c r="A36" s="7">
        <v>45939</v>
      </c>
      <c r="B36" s="2" t="s">
        <v>101</v>
      </c>
      <c r="C36" s="2">
        <v>30550</v>
      </c>
      <c r="D36" s="2">
        <v>3000</v>
      </c>
      <c r="E36" s="47"/>
    </row>
    <row r="37" spans="1:5" ht="15.6" x14ac:dyDescent="0.3">
      <c r="A37" s="7">
        <v>45940</v>
      </c>
      <c r="B37" s="2" t="s">
        <v>165</v>
      </c>
      <c r="C37" s="2">
        <v>15500</v>
      </c>
      <c r="D37" s="2">
        <v>1500</v>
      </c>
      <c r="E37" s="47"/>
    </row>
    <row r="38" spans="1:5" ht="15.6" x14ac:dyDescent="0.3">
      <c r="A38" s="7">
        <v>45950</v>
      </c>
      <c r="B38" s="2" t="s">
        <v>99</v>
      </c>
      <c r="C38" s="2">
        <v>30000</v>
      </c>
      <c r="D38" s="2">
        <v>0</v>
      </c>
      <c r="E38" s="47" t="s">
        <v>277</v>
      </c>
    </row>
    <row r="39" spans="1:5" ht="15.6" x14ac:dyDescent="0.3">
      <c r="A39" s="7">
        <v>45950</v>
      </c>
      <c r="B39" s="2" t="s">
        <v>291</v>
      </c>
      <c r="C39" s="2">
        <v>30000</v>
      </c>
      <c r="D39" s="2">
        <v>3000</v>
      </c>
      <c r="E39" s="47" t="s">
        <v>292</v>
      </c>
    </row>
    <row r="40" spans="1:5" ht="15.6" x14ac:dyDescent="0.3">
      <c r="A40" s="7">
        <v>45950</v>
      </c>
      <c r="B40" s="2" t="s">
        <v>189</v>
      </c>
      <c r="C40" s="2">
        <v>2500</v>
      </c>
      <c r="D40" s="2">
        <v>250</v>
      </c>
      <c r="E40" s="47"/>
    </row>
    <row r="41" spans="1:5" ht="15.6" x14ac:dyDescent="0.3">
      <c r="A41" s="7">
        <v>45950</v>
      </c>
      <c r="B41" s="2" t="s">
        <v>299</v>
      </c>
      <c r="C41" s="2">
        <v>15000</v>
      </c>
      <c r="D41" s="2">
        <v>1500</v>
      </c>
      <c r="E41" s="47"/>
    </row>
    <row r="42" spans="1:5" ht="15.6" x14ac:dyDescent="0.3">
      <c r="A42" s="7">
        <v>45950</v>
      </c>
      <c r="B42" s="2" t="s">
        <v>300</v>
      </c>
      <c r="C42" s="2">
        <v>12500</v>
      </c>
      <c r="D42" s="2">
        <v>1250</v>
      </c>
      <c r="E42" s="47"/>
    </row>
    <row r="43" spans="1:5" ht="15.6" x14ac:dyDescent="0.3">
      <c r="A43" s="7">
        <v>45950</v>
      </c>
      <c r="B43" s="2" t="s">
        <v>301</v>
      </c>
      <c r="C43" s="2">
        <v>7000</v>
      </c>
      <c r="D43" s="2">
        <v>700</v>
      </c>
      <c r="E43" s="47"/>
    </row>
    <row r="44" spans="1:5" ht="15.6" x14ac:dyDescent="0.3">
      <c r="A44" s="7">
        <v>45950</v>
      </c>
      <c r="B44" s="2" t="s">
        <v>302</v>
      </c>
      <c r="C44" s="2">
        <v>7600</v>
      </c>
      <c r="D44" s="2">
        <v>750</v>
      </c>
      <c r="E44" s="47"/>
    </row>
    <row r="45" spans="1:5" ht="15.6" x14ac:dyDescent="0.3">
      <c r="A45" s="7">
        <v>45950</v>
      </c>
      <c r="B45" s="2" t="s">
        <v>298</v>
      </c>
      <c r="C45" s="2">
        <v>20500</v>
      </c>
      <c r="D45" s="2">
        <v>2000</v>
      </c>
      <c r="E45" s="47"/>
    </row>
    <row r="46" spans="1:5" ht="15.6" x14ac:dyDescent="0.3">
      <c r="A46" s="7">
        <v>45951</v>
      </c>
      <c r="B46" s="2" t="s">
        <v>161</v>
      </c>
      <c r="C46" s="2">
        <v>5500</v>
      </c>
      <c r="D46" s="2">
        <v>500</v>
      </c>
      <c r="E46" s="47"/>
    </row>
    <row r="47" spans="1:5" ht="15.6" x14ac:dyDescent="0.3">
      <c r="A47" s="7">
        <v>45952</v>
      </c>
      <c r="B47" s="2" t="s">
        <v>305</v>
      </c>
      <c r="C47" s="2">
        <v>16000</v>
      </c>
      <c r="D47" s="2">
        <v>1600</v>
      </c>
      <c r="E47" s="47"/>
    </row>
    <row r="48" spans="1:5" ht="15.6" x14ac:dyDescent="0.3">
      <c r="A48" s="7">
        <v>45952</v>
      </c>
      <c r="B48" s="2" t="s">
        <v>306</v>
      </c>
      <c r="C48" s="2">
        <v>15100</v>
      </c>
      <c r="D48" s="2">
        <v>1500</v>
      </c>
      <c r="E48" s="47"/>
    </row>
    <row r="49" spans="1:5" ht="15.6" x14ac:dyDescent="0.3">
      <c r="A49" s="7">
        <v>45966</v>
      </c>
      <c r="B49" s="2" t="s">
        <v>316</v>
      </c>
      <c r="C49" s="2">
        <v>8700</v>
      </c>
      <c r="D49" s="2">
        <v>850</v>
      </c>
      <c r="E49" s="47"/>
    </row>
    <row r="50" spans="1:5" ht="15.6" x14ac:dyDescent="0.3">
      <c r="A50" s="7">
        <v>45972</v>
      </c>
      <c r="B50" s="2" t="s">
        <v>298</v>
      </c>
      <c r="C50" s="2">
        <v>34500</v>
      </c>
      <c r="D50" s="2">
        <v>3450</v>
      </c>
      <c r="E50" s="47"/>
    </row>
    <row r="51" spans="1:5" ht="15.6" x14ac:dyDescent="0.3">
      <c r="A51" s="7">
        <v>45981</v>
      </c>
      <c r="B51" s="2" t="s">
        <v>93</v>
      </c>
      <c r="C51" s="2">
        <v>9500</v>
      </c>
      <c r="D51" s="2">
        <v>950</v>
      </c>
      <c r="E51" s="47"/>
    </row>
    <row r="52" spans="1:5" ht="15.6" x14ac:dyDescent="0.3">
      <c r="A52" s="7">
        <v>45981</v>
      </c>
      <c r="B52" s="2" t="s">
        <v>273</v>
      </c>
      <c r="C52" s="2">
        <v>4500</v>
      </c>
      <c r="D52" s="2">
        <v>450</v>
      </c>
      <c r="E52" s="47"/>
    </row>
    <row r="53" spans="1:5" ht="15.6" x14ac:dyDescent="0.3">
      <c r="A53" s="7">
        <v>45982</v>
      </c>
      <c r="B53" s="2" t="s">
        <v>158</v>
      </c>
      <c r="C53" s="2">
        <v>5000</v>
      </c>
      <c r="D53" s="2">
        <v>500</v>
      </c>
      <c r="E53" s="47"/>
    </row>
    <row r="54" spans="1:5" ht="15.6" x14ac:dyDescent="0.3">
      <c r="A54" s="7">
        <v>45985</v>
      </c>
      <c r="B54" s="2" t="s">
        <v>313</v>
      </c>
      <c r="C54" s="2">
        <v>8000</v>
      </c>
      <c r="D54" s="2">
        <v>800</v>
      </c>
      <c r="E54" s="47"/>
    </row>
    <row r="55" spans="1:5" ht="15.6" x14ac:dyDescent="0.3">
      <c r="A55" s="7">
        <v>46009</v>
      </c>
      <c r="B55" s="2" t="s">
        <v>298</v>
      </c>
      <c r="C55" s="2">
        <v>23000</v>
      </c>
      <c r="D55" s="2">
        <v>2300</v>
      </c>
      <c r="E55" s="47"/>
    </row>
    <row r="56" spans="1:5" ht="15.6" x14ac:dyDescent="0.3">
      <c r="A56" s="7">
        <v>46013</v>
      </c>
      <c r="B56" s="2" t="s">
        <v>285</v>
      </c>
      <c r="C56" s="2">
        <v>18800</v>
      </c>
      <c r="D56" s="2">
        <v>1800</v>
      </c>
      <c r="E56" s="47"/>
    </row>
    <row r="57" spans="1:5" ht="15.6" x14ac:dyDescent="0.3">
      <c r="A57" s="7">
        <v>46020</v>
      </c>
      <c r="B57" s="2" t="s">
        <v>273</v>
      </c>
      <c r="C57" s="2">
        <v>2250</v>
      </c>
      <c r="D57" s="2">
        <v>225</v>
      </c>
      <c r="E57" s="47"/>
    </row>
    <row r="58" spans="1:5" ht="15.6" x14ac:dyDescent="0.3">
      <c r="A58" s="7">
        <v>46020</v>
      </c>
      <c r="B58" s="2" t="s">
        <v>189</v>
      </c>
      <c r="C58" s="2">
        <v>9000</v>
      </c>
      <c r="D58" s="2">
        <v>900</v>
      </c>
      <c r="E58" s="47"/>
    </row>
    <row r="59" spans="1:5" ht="15.6" x14ac:dyDescent="0.3">
      <c r="A59" s="7">
        <v>46020</v>
      </c>
      <c r="B59" s="2" t="s">
        <v>216</v>
      </c>
      <c r="C59" s="2">
        <v>7000</v>
      </c>
      <c r="D59" s="2">
        <v>700</v>
      </c>
      <c r="E59" s="47"/>
    </row>
    <row r="60" spans="1:5" ht="15.6" x14ac:dyDescent="0.3">
      <c r="A60" s="7">
        <v>46020</v>
      </c>
      <c r="B60" s="2" t="s">
        <v>133</v>
      </c>
      <c r="C60" s="2">
        <v>4500</v>
      </c>
      <c r="D60" s="2">
        <v>450</v>
      </c>
      <c r="E60" s="47"/>
    </row>
    <row r="61" spans="1:5" ht="15.6" x14ac:dyDescent="0.3">
      <c r="A61" s="7">
        <v>46020</v>
      </c>
      <c r="B61" s="2" t="s">
        <v>95</v>
      </c>
      <c r="C61" s="2">
        <v>11900</v>
      </c>
      <c r="D61" s="2">
        <v>1200</v>
      </c>
      <c r="E61" s="47"/>
    </row>
    <row r="62" spans="1:5" ht="15.6" x14ac:dyDescent="0.3">
      <c r="A62" s="7">
        <v>46020</v>
      </c>
      <c r="B62" s="2" t="s">
        <v>100</v>
      </c>
      <c r="C62" s="2">
        <v>7500</v>
      </c>
      <c r="D62" s="2">
        <v>750</v>
      </c>
      <c r="E62" s="47"/>
    </row>
    <row r="63" spans="1:5" ht="15.6" x14ac:dyDescent="0.3">
      <c r="A63" s="7">
        <v>46024</v>
      </c>
      <c r="B63" s="2" t="s">
        <v>207</v>
      </c>
      <c r="C63" s="2">
        <v>10200</v>
      </c>
      <c r="D63" s="2">
        <v>1000</v>
      </c>
      <c r="E63" s="47"/>
    </row>
    <row r="64" spans="1:5" ht="15.6" x14ac:dyDescent="0.3">
      <c r="A64" s="7">
        <v>45663</v>
      </c>
      <c r="B64" s="2" t="s">
        <v>234</v>
      </c>
      <c r="C64" s="2">
        <v>11000</v>
      </c>
      <c r="D64" s="2">
        <v>1000</v>
      </c>
      <c r="E64" s="47"/>
    </row>
    <row r="65" spans="1:5" ht="15.6" x14ac:dyDescent="0.3">
      <c r="A65" s="7">
        <v>46038</v>
      </c>
      <c r="B65" s="2" t="s">
        <v>391</v>
      </c>
      <c r="C65" s="2">
        <v>7900</v>
      </c>
      <c r="D65" s="2">
        <v>800</v>
      </c>
      <c r="E65" s="47"/>
    </row>
    <row r="66" spans="1:5" ht="15.6" x14ac:dyDescent="0.3">
      <c r="A66" s="7">
        <v>46038</v>
      </c>
      <c r="B66" s="2" t="s">
        <v>97</v>
      </c>
      <c r="C66" s="2">
        <v>45000</v>
      </c>
      <c r="D66" s="2">
        <v>4500</v>
      </c>
      <c r="E66" s="47"/>
    </row>
    <row r="67" spans="1:5" ht="15.6" x14ac:dyDescent="0.3">
      <c r="A67" s="7">
        <v>46038</v>
      </c>
      <c r="B67" s="2" t="s">
        <v>133</v>
      </c>
      <c r="C67" s="2">
        <v>3000</v>
      </c>
      <c r="D67" s="2">
        <v>300</v>
      </c>
      <c r="E67" s="47"/>
    </row>
    <row r="68" spans="1:5" ht="15.6" x14ac:dyDescent="0.3">
      <c r="A68" s="7">
        <v>46038</v>
      </c>
      <c r="B68" s="2" t="s">
        <v>95</v>
      </c>
      <c r="C68" s="2">
        <v>7300</v>
      </c>
      <c r="D68" s="2">
        <v>750</v>
      </c>
      <c r="E68" s="47"/>
    </row>
    <row r="69" spans="1:5" ht="15.6" x14ac:dyDescent="0.3">
      <c r="A69" s="7">
        <v>46038</v>
      </c>
      <c r="B69" s="2" t="s">
        <v>216</v>
      </c>
      <c r="C69" s="2">
        <v>10500</v>
      </c>
      <c r="D69" s="2">
        <v>1050</v>
      </c>
      <c r="E69" s="47"/>
    </row>
    <row r="70" spans="1:5" ht="15.6" x14ac:dyDescent="0.3">
      <c r="A70" s="7">
        <v>46038</v>
      </c>
      <c r="B70" s="2" t="s">
        <v>165</v>
      </c>
      <c r="C70" s="2">
        <v>11000</v>
      </c>
      <c r="D70" s="2">
        <v>1100</v>
      </c>
      <c r="E70" s="47"/>
    </row>
    <row r="71" spans="1:5" ht="15.6" x14ac:dyDescent="0.3">
      <c r="A71" s="7">
        <v>46038</v>
      </c>
      <c r="B71" s="2" t="s">
        <v>149</v>
      </c>
      <c r="C71" s="2">
        <v>20000</v>
      </c>
      <c r="D71" s="2">
        <v>2000</v>
      </c>
      <c r="E71" s="47"/>
    </row>
    <row r="72" spans="1:5" ht="15.6" x14ac:dyDescent="0.3">
      <c r="A72" s="7">
        <v>45678</v>
      </c>
      <c r="B72" s="2" t="s">
        <v>165</v>
      </c>
      <c r="C72" s="2">
        <v>17500</v>
      </c>
      <c r="D72" s="2">
        <v>1750</v>
      </c>
      <c r="E72" s="47"/>
    </row>
    <row r="73" spans="1:5" ht="15.6" x14ac:dyDescent="0.3">
      <c r="A73" s="7">
        <v>46049</v>
      </c>
      <c r="B73" s="2" t="s">
        <v>99</v>
      </c>
      <c r="C73" s="2">
        <v>30000</v>
      </c>
      <c r="D73" s="2">
        <v>3000</v>
      </c>
      <c r="E73" s="47"/>
    </row>
    <row r="74" spans="1:5" ht="15.6" x14ac:dyDescent="0.3">
      <c r="A74" s="7">
        <v>46049</v>
      </c>
      <c r="B74" s="2" t="s">
        <v>426</v>
      </c>
      <c r="C74" s="2">
        <v>0</v>
      </c>
      <c r="D74" s="64">
        <v>-5000</v>
      </c>
      <c r="E74" s="47"/>
    </row>
    <row r="75" spans="1:5" ht="15.6" x14ac:dyDescent="0.3">
      <c r="A75" s="7">
        <v>46050</v>
      </c>
      <c r="B75" s="2" t="s">
        <v>285</v>
      </c>
      <c r="C75" s="2">
        <v>20050</v>
      </c>
      <c r="D75" s="2">
        <v>2000</v>
      </c>
      <c r="E75" s="47"/>
    </row>
    <row r="76" spans="1:5" ht="15.6" x14ac:dyDescent="0.3">
      <c r="A76" s="7">
        <v>46059</v>
      </c>
      <c r="B76" s="2" t="s">
        <v>442</v>
      </c>
      <c r="C76" s="2">
        <v>0</v>
      </c>
      <c r="D76" s="64">
        <v>-2000</v>
      </c>
      <c r="E76" s="47"/>
    </row>
    <row r="77" spans="1:5" ht="15.6" x14ac:dyDescent="0.3">
      <c r="A77" s="7">
        <v>46072</v>
      </c>
      <c r="B77" s="2" t="s">
        <v>449</v>
      </c>
      <c r="C77" s="2">
        <v>28600</v>
      </c>
      <c r="D77" s="2">
        <v>2850</v>
      </c>
      <c r="E77" s="47"/>
    </row>
    <row r="78" spans="1:5" ht="15.6" x14ac:dyDescent="0.3">
      <c r="A78" s="7">
        <v>46077</v>
      </c>
      <c r="B78" s="2" t="s">
        <v>165</v>
      </c>
      <c r="C78" s="2">
        <v>14000</v>
      </c>
      <c r="D78" s="2">
        <v>1400</v>
      </c>
      <c r="E78" s="47"/>
    </row>
    <row r="79" spans="1:5" ht="15.6" x14ac:dyDescent="0.3">
      <c r="A79" s="7">
        <v>46078</v>
      </c>
      <c r="B79" s="2" t="s">
        <v>273</v>
      </c>
      <c r="C79" s="2">
        <v>12100</v>
      </c>
      <c r="D79" s="2">
        <v>1200</v>
      </c>
      <c r="E79" s="47"/>
    </row>
    <row r="80" spans="1:5" ht="15.6" x14ac:dyDescent="0.3">
      <c r="A80" s="7">
        <v>46086</v>
      </c>
      <c r="B80" s="2" t="s">
        <v>133</v>
      </c>
      <c r="C80" s="2">
        <v>24000</v>
      </c>
      <c r="D80" s="2">
        <v>2400</v>
      </c>
      <c r="E80" s="47"/>
    </row>
    <row r="81" spans="1:5" ht="15.6" x14ac:dyDescent="0.3">
      <c r="A81" s="7">
        <v>46086</v>
      </c>
      <c r="B81" s="2" t="s">
        <v>95</v>
      </c>
      <c r="C81" s="2">
        <v>17700</v>
      </c>
      <c r="D81" s="2">
        <v>1750</v>
      </c>
      <c r="E81" s="47"/>
    </row>
    <row r="82" spans="1:5" ht="15.6" x14ac:dyDescent="0.3">
      <c r="A82" s="7">
        <v>46086</v>
      </c>
      <c r="B82" s="2" t="s">
        <v>100</v>
      </c>
      <c r="C82" s="2">
        <v>10000</v>
      </c>
      <c r="D82" s="2">
        <v>1000</v>
      </c>
      <c r="E82" s="47"/>
    </row>
    <row r="83" spans="1:5" ht="15.6" x14ac:dyDescent="0.3">
      <c r="A83" s="7" t="s">
        <v>479</v>
      </c>
      <c r="B83" s="2" t="s">
        <v>305</v>
      </c>
      <c r="C83" s="2">
        <v>23000</v>
      </c>
      <c r="D83" s="2">
        <v>2300</v>
      </c>
      <c r="E83" s="47"/>
    </row>
    <row r="84" spans="1:5" ht="15.6" x14ac:dyDescent="0.3">
      <c r="A84" s="7">
        <v>46098</v>
      </c>
      <c r="B84" s="2" t="s">
        <v>165</v>
      </c>
      <c r="C84" s="2">
        <v>80000</v>
      </c>
      <c r="D84" s="2">
        <v>8000</v>
      </c>
      <c r="E84" s="47"/>
    </row>
    <row r="85" spans="1:5" ht="15.6" x14ac:dyDescent="0.3">
      <c r="A85" s="7">
        <v>46104</v>
      </c>
      <c r="B85" s="2" t="s">
        <v>387</v>
      </c>
      <c r="C85" s="2">
        <v>9000</v>
      </c>
      <c r="D85" s="2">
        <v>900</v>
      </c>
      <c r="E85" s="47"/>
    </row>
    <row r="86" spans="1:5" ht="15.6" x14ac:dyDescent="0.3">
      <c r="A86" s="7">
        <v>46106</v>
      </c>
      <c r="B86" s="2" t="s">
        <v>488</v>
      </c>
      <c r="C86" s="2">
        <v>4000</v>
      </c>
      <c r="D86" s="2">
        <v>400</v>
      </c>
      <c r="E86" s="47"/>
    </row>
    <row r="87" spans="1:5" ht="15.6" x14ac:dyDescent="0.3">
      <c r="A87" s="7">
        <v>46106</v>
      </c>
      <c r="B87" s="2" t="s">
        <v>122</v>
      </c>
      <c r="C87" s="2">
        <v>7500</v>
      </c>
      <c r="D87" s="2">
        <v>750</v>
      </c>
      <c r="E87" s="47"/>
    </row>
    <row r="88" spans="1:5" ht="15.6" x14ac:dyDescent="0.3">
      <c r="A88" s="7">
        <v>46111</v>
      </c>
      <c r="B88" s="2" t="s">
        <v>165</v>
      </c>
      <c r="C88" s="2">
        <v>10000</v>
      </c>
      <c r="D88" s="2">
        <v>1000</v>
      </c>
      <c r="E88" s="47"/>
    </row>
    <row r="89" spans="1:5" ht="15.6" x14ac:dyDescent="0.3">
      <c r="A89" s="7">
        <v>46112</v>
      </c>
      <c r="B89" s="2" t="s">
        <v>298</v>
      </c>
      <c r="C89" s="2">
        <v>49000</v>
      </c>
      <c r="D89" s="2">
        <v>4900</v>
      </c>
      <c r="E89" s="47"/>
    </row>
    <row r="90" spans="1:5" ht="15.6" x14ac:dyDescent="0.3">
      <c r="A90" s="7">
        <v>46113</v>
      </c>
      <c r="B90" s="2" t="s">
        <v>285</v>
      </c>
      <c r="C90" s="2">
        <v>16500</v>
      </c>
      <c r="D90" s="2">
        <v>1650</v>
      </c>
      <c r="E90" s="47"/>
    </row>
    <row r="91" spans="1:5" ht="15.6" x14ac:dyDescent="0.3">
      <c r="A91" s="7">
        <v>46118</v>
      </c>
      <c r="B91" s="2" t="s">
        <v>165</v>
      </c>
      <c r="C91" s="2">
        <v>50000</v>
      </c>
      <c r="D91" s="2">
        <v>5000</v>
      </c>
      <c r="E91" s="47"/>
    </row>
    <row r="92" spans="1:5" ht="15.6" x14ac:dyDescent="0.3">
      <c r="A92" s="7">
        <v>46122</v>
      </c>
      <c r="B92" s="2" t="s">
        <v>305</v>
      </c>
      <c r="C92" s="2">
        <v>25000</v>
      </c>
      <c r="D92" s="2">
        <v>2500</v>
      </c>
      <c r="E92" s="47"/>
    </row>
    <row r="93" spans="1:5" ht="15.6" x14ac:dyDescent="0.3">
      <c r="A93" s="7">
        <v>46133</v>
      </c>
      <c r="B93" s="2" t="s">
        <v>161</v>
      </c>
      <c r="C93" s="2">
        <v>7500</v>
      </c>
      <c r="D93" s="2">
        <v>750</v>
      </c>
      <c r="E93" s="47"/>
    </row>
    <row r="94" spans="1:5" ht="15.6" x14ac:dyDescent="0.3">
      <c r="A94" s="7">
        <v>46163</v>
      </c>
      <c r="B94" s="2" t="s">
        <v>194</v>
      </c>
      <c r="C94" s="2">
        <v>9000</v>
      </c>
      <c r="D94" s="2">
        <v>900</v>
      </c>
      <c r="E94" s="47"/>
    </row>
    <row r="95" spans="1:5" ht="15.6" x14ac:dyDescent="0.3">
      <c r="A95" s="7">
        <v>46163</v>
      </c>
      <c r="B95" s="2" t="s">
        <v>216</v>
      </c>
      <c r="C95" s="2">
        <v>9000</v>
      </c>
      <c r="D95" s="2">
        <v>900</v>
      </c>
      <c r="E95" s="47"/>
    </row>
    <row r="96" spans="1:5" ht="15.6" x14ac:dyDescent="0.3">
      <c r="A96" s="7">
        <v>46167</v>
      </c>
      <c r="B96" s="2" t="s">
        <v>165</v>
      </c>
      <c r="C96" s="2">
        <v>20000</v>
      </c>
      <c r="D96" s="2">
        <v>2000</v>
      </c>
      <c r="E96" s="47"/>
    </row>
    <row r="97" spans="1:5" ht="15.6" x14ac:dyDescent="0.3">
      <c r="A97" s="7">
        <v>46174</v>
      </c>
      <c r="B97" s="2" t="s">
        <v>556</v>
      </c>
      <c r="C97" s="2">
        <v>6000</v>
      </c>
      <c r="D97" s="2">
        <v>600</v>
      </c>
      <c r="E97" s="47"/>
    </row>
    <row r="98" spans="1:5" ht="15.6" x14ac:dyDescent="0.3">
      <c r="A98" s="7"/>
      <c r="B98" s="2"/>
      <c r="C98" s="2"/>
      <c r="D98" s="2"/>
      <c r="E98" s="47"/>
    </row>
    <row r="99" spans="1:5" ht="15.6" x14ac:dyDescent="0.3">
      <c r="A99" s="7"/>
      <c r="B99" s="2"/>
      <c r="C99" s="2"/>
      <c r="D99" s="2"/>
      <c r="E99" s="47"/>
    </row>
    <row r="100" spans="1:5" ht="15.6" x14ac:dyDescent="0.3">
      <c r="A100" s="7"/>
      <c r="B100" s="2"/>
      <c r="C100" s="2"/>
      <c r="D100" s="2"/>
      <c r="E100" s="47"/>
    </row>
    <row r="101" spans="1:5" ht="15.6" x14ac:dyDescent="0.3">
      <c r="A101" s="7"/>
      <c r="B101" s="2"/>
      <c r="C101" s="2"/>
      <c r="D101" s="2"/>
      <c r="E101" s="47"/>
    </row>
    <row r="102" spans="1:5" ht="15.6" x14ac:dyDescent="0.3">
      <c r="A102" s="7"/>
      <c r="B102" s="2"/>
      <c r="C102" s="2"/>
      <c r="D102" s="2"/>
      <c r="E102" s="47"/>
    </row>
    <row r="103" spans="1:5" ht="15.6" x14ac:dyDescent="0.3">
      <c r="A103" s="7"/>
      <c r="B103" s="2"/>
      <c r="C103" s="2"/>
      <c r="D103" s="2"/>
      <c r="E103" s="47"/>
    </row>
    <row r="104" spans="1:5" ht="15.6" x14ac:dyDescent="0.3">
      <c r="A104" s="7"/>
      <c r="B104" s="2"/>
      <c r="C104" s="2"/>
      <c r="D104" s="2"/>
      <c r="E104" s="47"/>
    </row>
    <row r="105" spans="1:5" ht="15.6" x14ac:dyDescent="0.3">
      <c r="A105" s="7"/>
      <c r="B105" s="2"/>
      <c r="C105" s="2"/>
      <c r="D105" s="2"/>
      <c r="E105" s="47"/>
    </row>
    <row r="106" spans="1:5" ht="15.6" x14ac:dyDescent="0.3">
      <c r="A106" s="7"/>
      <c r="B106" s="2"/>
      <c r="C106" s="2"/>
      <c r="D106" s="2"/>
      <c r="E106" s="47"/>
    </row>
    <row r="107" spans="1:5" ht="17.399999999999999" x14ac:dyDescent="0.3">
      <c r="A107" s="91" t="s">
        <v>146</v>
      </c>
      <c r="B107" s="92"/>
      <c r="C107" s="11">
        <f>SUM(C3:C106)</f>
        <v>1651000</v>
      </c>
      <c r="D107" s="11">
        <f>SUM(D3:D106)</f>
        <v>135275</v>
      </c>
      <c r="E107" s="47"/>
    </row>
  </sheetData>
  <sortState xmlns:xlrd2="http://schemas.microsoft.com/office/spreadsheetml/2017/richdata2" ref="A4:D13">
    <sortCondition ref="A3"/>
  </sortState>
  <mergeCells count="2">
    <mergeCell ref="A1:D1"/>
    <mergeCell ref="A107:B10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>
      <selection activeCell="E18" sqref="E18"/>
    </sheetView>
  </sheetViews>
  <sheetFormatPr baseColWidth="10" defaultRowHeight="14.4" x14ac:dyDescent="0.3"/>
  <cols>
    <col min="1" max="1" width="18.44140625" customWidth="1"/>
    <col min="2" max="2" width="19.6640625" customWidth="1"/>
    <col min="3" max="3" width="15.44140625" customWidth="1"/>
    <col min="4" max="4" width="10" customWidth="1"/>
    <col min="5" max="5" width="12.109375" customWidth="1"/>
  </cols>
  <sheetData>
    <row r="1" spans="1:8" ht="17.399999999999999" x14ac:dyDescent="0.3">
      <c r="A1" s="93" t="s">
        <v>274</v>
      </c>
      <c r="B1" s="93"/>
      <c r="C1" s="93"/>
      <c r="D1" s="44"/>
      <c r="E1" s="44"/>
    </row>
    <row r="2" spans="1:8" x14ac:dyDescent="0.3">
      <c r="A2" s="43" t="s">
        <v>243</v>
      </c>
      <c r="B2" s="43" t="s">
        <v>244</v>
      </c>
      <c r="C2" s="43" t="s">
        <v>74</v>
      </c>
      <c r="D2" s="32"/>
      <c r="E2" s="32"/>
    </row>
    <row r="3" spans="1:8" x14ac:dyDescent="0.3">
      <c r="A3" s="2">
        <v>10000</v>
      </c>
      <c r="B3" s="2">
        <v>1</v>
      </c>
      <c r="C3" s="2">
        <f>A3*B3</f>
        <v>10000</v>
      </c>
      <c r="D3" s="32"/>
      <c r="E3" s="32"/>
    </row>
    <row r="4" spans="1:8" x14ac:dyDescent="0.3">
      <c r="A4" s="2">
        <v>5000</v>
      </c>
      <c r="B4" s="2">
        <v>3</v>
      </c>
      <c r="C4" s="2">
        <f t="shared" ref="C4:C11" si="0">A4*B4</f>
        <v>15000</v>
      </c>
    </row>
    <row r="5" spans="1:8" x14ac:dyDescent="0.3">
      <c r="A5" s="2">
        <v>2000</v>
      </c>
      <c r="B5" s="2">
        <v>0</v>
      </c>
      <c r="C5" s="2">
        <f t="shared" si="0"/>
        <v>0</v>
      </c>
    </row>
    <row r="6" spans="1:8" x14ac:dyDescent="0.3">
      <c r="A6" s="2">
        <v>1000</v>
      </c>
      <c r="B6" s="2">
        <v>0</v>
      </c>
      <c r="C6" s="2">
        <f t="shared" si="0"/>
        <v>0</v>
      </c>
    </row>
    <row r="7" spans="1:8" x14ac:dyDescent="0.3">
      <c r="A7" s="2">
        <v>500</v>
      </c>
      <c r="B7" s="2">
        <v>19</v>
      </c>
      <c r="C7" s="2">
        <f t="shared" si="0"/>
        <v>9500</v>
      </c>
    </row>
    <row r="8" spans="1:8" x14ac:dyDescent="0.3">
      <c r="A8" s="2">
        <v>500</v>
      </c>
      <c r="B8" s="2">
        <v>0</v>
      </c>
      <c r="C8" s="2">
        <f t="shared" si="0"/>
        <v>0</v>
      </c>
      <c r="E8" s="32"/>
    </row>
    <row r="9" spans="1:8" x14ac:dyDescent="0.3">
      <c r="A9" s="2">
        <v>200</v>
      </c>
      <c r="B9" s="2">
        <v>0</v>
      </c>
      <c r="C9" s="2">
        <f t="shared" si="0"/>
        <v>0</v>
      </c>
      <c r="E9" s="32"/>
    </row>
    <row r="10" spans="1:8" x14ac:dyDescent="0.3">
      <c r="A10" s="2">
        <v>100</v>
      </c>
      <c r="B10" s="2">
        <v>0</v>
      </c>
      <c r="C10" s="2">
        <f t="shared" si="0"/>
        <v>0</v>
      </c>
    </row>
    <row r="11" spans="1:8" x14ac:dyDescent="0.3">
      <c r="A11" s="2">
        <v>50</v>
      </c>
      <c r="B11" s="2">
        <v>120</v>
      </c>
      <c r="C11" s="2">
        <f t="shared" si="0"/>
        <v>6000</v>
      </c>
    </row>
    <row r="12" spans="1:8" x14ac:dyDescent="0.3">
      <c r="A12" s="90" t="s">
        <v>245</v>
      </c>
      <c r="B12" s="90"/>
      <c r="C12" s="40">
        <f>C3+C4+C5+C6+C7+C8+C10+C11+C9</f>
        <v>40500</v>
      </c>
    </row>
    <row r="13" spans="1:8" ht="15.6" x14ac:dyDescent="0.3">
      <c r="A13" s="94" t="s">
        <v>527</v>
      </c>
      <c r="B13" s="95"/>
      <c r="C13" s="2">
        <v>100000</v>
      </c>
      <c r="H13" t="s">
        <v>410</v>
      </c>
    </row>
    <row r="14" spans="1:8" x14ac:dyDescent="0.3">
      <c r="A14" s="90" t="s">
        <v>333</v>
      </c>
      <c r="B14" s="90"/>
      <c r="C14" s="39">
        <f>C12+C13</f>
        <v>140500</v>
      </c>
    </row>
    <row r="15" spans="1:8" x14ac:dyDescent="0.3">
      <c r="A15" s="90" t="s">
        <v>246</v>
      </c>
      <c r="B15" s="90"/>
      <c r="C15" s="39">
        <v>303025</v>
      </c>
    </row>
    <row r="16" spans="1:8" x14ac:dyDescent="0.3">
      <c r="A16" s="90" t="s">
        <v>249</v>
      </c>
      <c r="B16" s="90"/>
      <c r="C16" s="39">
        <f>C14-C15</f>
        <v>-162525</v>
      </c>
    </row>
    <row r="19" spans="1:3" x14ac:dyDescent="0.3">
      <c r="A19" s="96" t="s">
        <v>507</v>
      </c>
      <c r="B19" s="96"/>
      <c r="C19">
        <v>60000</v>
      </c>
    </row>
    <row r="20" spans="1:3" x14ac:dyDescent="0.3">
      <c r="A20" s="96" t="s">
        <v>508</v>
      </c>
      <c r="B20" s="96"/>
      <c r="C20">
        <v>15000</v>
      </c>
    </row>
    <row r="21" spans="1:3" x14ac:dyDescent="0.3">
      <c r="A21" s="96" t="s">
        <v>509</v>
      </c>
      <c r="B21" s="96"/>
      <c r="C21">
        <v>30000</v>
      </c>
    </row>
    <row r="22" spans="1:3" x14ac:dyDescent="0.3">
      <c r="A22" s="65" t="s">
        <v>523</v>
      </c>
      <c r="B22" s="65"/>
      <c r="C22">
        <v>15000</v>
      </c>
    </row>
    <row r="23" spans="1:3" x14ac:dyDescent="0.3">
      <c r="C23">
        <f>C19+C20+C21+C22</f>
        <v>120000</v>
      </c>
    </row>
  </sheetData>
  <mergeCells count="9">
    <mergeCell ref="A1:C1"/>
    <mergeCell ref="A13:B13"/>
    <mergeCell ref="A21:B21"/>
    <mergeCell ref="A20:B20"/>
    <mergeCell ref="A19:B19"/>
    <mergeCell ref="A15:B15"/>
    <mergeCell ref="A12:B12"/>
    <mergeCell ref="A14:B14"/>
    <mergeCell ref="A16:B16"/>
  </mergeCells>
  <conditionalFormatting sqref="A1:C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>
      <selection activeCell="D7" sqref="D7"/>
    </sheetView>
  </sheetViews>
  <sheetFormatPr baseColWidth="10" defaultRowHeight="14.4" x14ac:dyDescent="0.3"/>
  <cols>
    <col min="1" max="1" width="5.44140625" customWidth="1"/>
    <col min="2" max="2" width="28" customWidth="1"/>
    <col min="3" max="3" width="24.6640625" customWidth="1"/>
    <col min="4" max="4" width="15.33203125" customWidth="1"/>
    <col min="5" max="5" width="10" customWidth="1"/>
    <col min="6" max="6" width="15.33203125" customWidth="1"/>
    <col min="7" max="7" width="17.44140625" customWidth="1"/>
    <col min="8" max="8" width="14.44140625" customWidth="1"/>
  </cols>
  <sheetData>
    <row r="1" spans="1:8" ht="36.75" customHeight="1" x14ac:dyDescent="0.3">
      <c r="A1" s="50" t="s">
        <v>91</v>
      </c>
      <c r="B1" s="50" t="s">
        <v>92</v>
      </c>
      <c r="C1" s="50" t="s">
        <v>335</v>
      </c>
      <c r="D1" s="50" t="s">
        <v>74</v>
      </c>
      <c r="E1" s="51">
        <v>0.1</v>
      </c>
      <c r="F1" s="49" t="s">
        <v>107</v>
      </c>
      <c r="G1" s="49" t="s">
        <v>334</v>
      </c>
      <c r="H1" s="49" t="s">
        <v>332</v>
      </c>
    </row>
    <row r="2" spans="1:8" x14ac:dyDescent="0.3">
      <c r="A2" s="12"/>
      <c r="B2" s="42" t="s">
        <v>518</v>
      </c>
      <c r="C2" s="42" t="s">
        <v>519</v>
      </c>
      <c r="D2" s="42">
        <v>5000</v>
      </c>
      <c r="E2" s="42">
        <f t="shared" ref="E2:E8" si="0">D2*10/100</f>
        <v>500</v>
      </c>
      <c r="F2" s="42">
        <f t="shared" ref="F2:F8" si="1">D2-E2</f>
        <v>4500</v>
      </c>
      <c r="G2" s="12"/>
      <c r="H2" s="1"/>
    </row>
    <row r="3" spans="1:8" s="69" customFormat="1" x14ac:dyDescent="0.3">
      <c r="A3" s="12">
        <v>5</v>
      </c>
      <c r="B3" s="42" t="s">
        <v>103</v>
      </c>
      <c r="C3" s="42" t="s">
        <v>197</v>
      </c>
      <c r="D3" s="42">
        <v>1500</v>
      </c>
      <c r="E3" s="42">
        <f t="shared" si="0"/>
        <v>150</v>
      </c>
      <c r="F3" s="42">
        <f t="shared" si="1"/>
        <v>1350</v>
      </c>
      <c r="G3" s="12"/>
      <c r="H3" s="68"/>
    </row>
    <row r="4" spans="1:8" x14ac:dyDescent="0.3">
      <c r="A4" s="12"/>
      <c r="B4" s="42" t="s">
        <v>447</v>
      </c>
      <c r="C4" s="42" t="s">
        <v>540</v>
      </c>
      <c r="D4" s="42">
        <v>16100</v>
      </c>
      <c r="E4" s="42">
        <f t="shared" si="0"/>
        <v>1610</v>
      </c>
      <c r="F4" s="42">
        <f t="shared" si="1"/>
        <v>14490</v>
      </c>
      <c r="G4" s="12"/>
      <c r="H4" s="1"/>
    </row>
    <row r="5" spans="1:8" x14ac:dyDescent="0.3">
      <c r="A5" s="12"/>
      <c r="B5" s="42" t="s">
        <v>203</v>
      </c>
      <c r="C5" s="42" t="s">
        <v>526</v>
      </c>
      <c r="D5" s="42">
        <v>6000</v>
      </c>
      <c r="E5" s="42">
        <f t="shared" si="0"/>
        <v>600</v>
      </c>
      <c r="F5" s="42">
        <f t="shared" si="1"/>
        <v>5400</v>
      </c>
      <c r="G5" s="12"/>
      <c r="H5" s="1"/>
    </row>
    <row r="6" spans="1:8" x14ac:dyDescent="0.3">
      <c r="A6" s="12"/>
      <c r="B6" s="42" t="s">
        <v>164</v>
      </c>
      <c r="C6" s="42" t="s">
        <v>570</v>
      </c>
      <c r="D6" s="42">
        <v>37000</v>
      </c>
      <c r="E6" s="42">
        <f t="shared" si="0"/>
        <v>3700</v>
      </c>
      <c r="F6" s="42">
        <f t="shared" si="1"/>
        <v>33300</v>
      </c>
      <c r="G6" s="12"/>
      <c r="H6" s="1"/>
    </row>
    <row r="7" spans="1:8" x14ac:dyDescent="0.3">
      <c r="A7" s="12"/>
      <c r="B7" s="42" t="s">
        <v>133</v>
      </c>
      <c r="C7" s="42" t="s">
        <v>542</v>
      </c>
      <c r="D7" s="42">
        <v>9500</v>
      </c>
      <c r="E7" s="42">
        <f t="shared" si="0"/>
        <v>950</v>
      </c>
      <c r="F7" s="42">
        <f t="shared" si="1"/>
        <v>8550</v>
      </c>
      <c r="G7" s="12"/>
      <c r="H7" s="1"/>
    </row>
    <row r="8" spans="1:8" x14ac:dyDescent="0.3">
      <c r="A8" s="12">
        <v>9</v>
      </c>
      <c r="B8" s="42" t="s">
        <v>264</v>
      </c>
      <c r="C8" s="42" t="s">
        <v>265</v>
      </c>
      <c r="D8" s="42">
        <v>3000</v>
      </c>
      <c r="E8" s="42">
        <f t="shared" si="0"/>
        <v>300</v>
      </c>
      <c r="F8" s="42">
        <f t="shared" si="1"/>
        <v>2700</v>
      </c>
      <c r="G8" s="12"/>
      <c r="H8" s="1"/>
    </row>
    <row r="9" spans="1:8" x14ac:dyDescent="0.3">
      <c r="A9" s="12"/>
      <c r="B9" s="42" t="s">
        <v>95</v>
      </c>
      <c r="C9" s="42" t="s">
        <v>373</v>
      </c>
      <c r="D9" s="42">
        <v>5050</v>
      </c>
      <c r="E9" s="42">
        <f t="shared" ref="E9:E20" si="2">D9*10/100</f>
        <v>505</v>
      </c>
      <c r="F9" s="42">
        <f t="shared" ref="F9:F20" si="3">D9-E9</f>
        <v>4545</v>
      </c>
      <c r="G9" s="12"/>
      <c r="H9" s="1"/>
    </row>
    <row r="10" spans="1:8" x14ac:dyDescent="0.3">
      <c r="A10" s="12"/>
      <c r="B10" s="42" t="s">
        <v>97</v>
      </c>
      <c r="C10" s="42" t="s">
        <v>551</v>
      </c>
      <c r="D10" s="42">
        <v>10000</v>
      </c>
      <c r="E10" s="42">
        <f t="shared" si="2"/>
        <v>1000</v>
      </c>
      <c r="F10" s="42">
        <f t="shared" si="3"/>
        <v>9000</v>
      </c>
      <c r="G10" s="12"/>
      <c r="H10" s="1"/>
    </row>
    <row r="11" spans="1:8" x14ac:dyDescent="0.3">
      <c r="A11" s="12"/>
      <c r="B11" s="42" t="s">
        <v>451</v>
      </c>
      <c r="C11" s="42" t="s">
        <v>452</v>
      </c>
      <c r="D11" s="42">
        <v>500</v>
      </c>
      <c r="E11" s="42">
        <f t="shared" si="2"/>
        <v>50</v>
      </c>
      <c r="F11" s="42">
        <f t="shared" si="3"/>
        <v>450</v>
      </c>
      <c r="G11" s="12"/>
      <c r="H11" s="1"/>
    </row>
    <row r="12" spans="1:8" x14ac:dyDescent="0.3">
      <c r="A12" s="12"/>
      <c r="B12" s="42" t="s">
        <v>432</v>
      </c>
      <c r="C12" s="42" t="s">
        <v>78</v>
      </c>
      <c r="D12" s="42">
        <v>11900</v>
      </c>
      <c r="E12" s="42">
        <f t="shared" si="2"/>
        <v>1190</v>
      </c>
      <c r="F12" s="42">
        <f t="shared" si="3"/>
        <v>10710</v>
      </c>
      <c r="G12" s="12"/>
      <c r="H12" s="1"/>
    </row>
    <row r="13" spans="1:8" x14ac:dyDescent="0.3">
      <c r="A13" s="12"/>
      <c r="B13" s="42" t="s">
        <v>285</v>
      </c>
      <c r="C13" s="42" t="s">
        <v>538</v>
      </c>
      <c r="D13" s="42">
        <v>14800</v>
      </c>
      <c r="E13" s="42">
        <f t="shared" si="2"/>
        <v>1480</v>
      </c>
      <c r="F13" s="42">
        <f t="shared" si="3"/>
        <v>13320</v>
      </c>
      <c r="G13" s="12"/>
      <c r="H13" s="1"/>
    </row>
    <row r="14" spans="1:8" x14ac:dyDescent="0.3">
      <c r="A14" s="12"/>
      <c r="B14" s="42" t="s">
        <v>234</v>
      </c>
      <c r="C14" s="42" t="s">
        <v>12</v>
      </c>
      <c r="D14" s="42">
        <v>10000</v>
      </c>
      <c r="E14" s="42">
        <f t="shared" si="2"/>
        <v>1000</v>
      </c>
      <c r="F14" s="42">
        <f t="shared" si="3"/>
        <v>9000</v>
      </c>
      <c r="G14" s="12" t="s">
        <v>250</v>
      </c>
      <c r="H14" s="1"/>
    </row>
    <row r="15" spans="1:8" x14ac:dyDescent="0.3">
      <c r="A15" s="12"/>
      <c r="B15" s="42" t="s">
        <v>216</v>
      </c>
      <c r="C15" s="42" t="s">
        <v>560</v>
      </c>
      <c r="D15" s="42">
        <v>2000</v>
      </c>
      <c r="E15" s="42">
        <f t="shared" si="2"/>
        <v>200</v>
      </c>
      <c r="F15" s="42">
        <f t="shared" si="3"/>
        <v>1800</v>
      </c>
      <c r="G15" s="12"/>
      <c r="H15" s="1"/>
    </row>
    <row r="16" spans="1:8" x14ac:dyDescent="0.3">
      <c r="A16" s="12"/>
      <c r="B16" s="42" t="s">
        <v>295</v>
      </c>
      <c r="C16" s="42" t="s">
        <v>483</v>
      </c>
      <c r="D16" s="42">
        <v>3000</v>
      </c>
      <c r="E16" s="42">
        <f t="shared" si="2"/>
        <v>300</v>
      </c>
      <c r="F16" s="42">
        <f t="shared" si="3"/>
        <v>2700</v>
      </c>
      <c r="G16" s="12"/>
      <c r="H16" s="1"/>
    </row>
    <row r="17" spans="1:8" x14ac:dyDescent="0.3">
      <c r="A17" s="12"/>
      <c r="B17" s="42" t="s">
        <v>513</v>
      </c>
      <c r="C17" s="42" t="s">
        <v>173</v>
      </c>
      <c r="D17" s="42">
        <v>2500</v>
      </c>
      <c r="E17" s="42">
        <f t="shared" si="2"/>
        <v>250</v>
      </c>
      <c r="F17" s="42">
        <f t="shared" si="3"/>
        <v>2250</v>
      </c>
      <c r="G17" s="12"/>
      <c r="H17" s="1"/>
    </row>
    <row r="18" spans="1:8" x14ac:dyDescent="0.3">
      <c r="A18" s="12"/>
      <c r="B18" s="42" t="s">
        <v>101</v>
      </c>
      <c r="C18" s="42" t="s">
        <v>497</v>
      </c>
      <c r="D18" s="42">
        <v>9000</v>
      </c>
      <c r="E18" s="42">
        <f t="shared" si="2"/>
        <v>900</v>
      </c>
      <c r="F18" s="42">
        <f t="shared" si="3"/>
        <v>8100</v>
      </c>
      <c r="G18" s="12"/>
      <c r="H18" s="1"/>
    </row>
    <row r="19" spans="1:8" x14ac:dyDescent="0.3">
      <c r="A19" s="12"/>
      <c r="B19" s="42" t="s">
        <v>539</v>
      </c>
      <c r="C19" s="42" t="s">
        <v>312</v>
      </c>
      <c r="D19" s="42">
        <v>3000</v>
      </c>
      <c r="E19" s="42">
        <f t="shared" si="2"/>
        <v>300</v>
      </c>
      <c r="F19" s="42">
        <f t="shared" si="3"/>
        <v>2700</v>
      </c>
      <c r="G19" s="12"/>
      <c r="H19" s="1"/>
    </row>
    <row r="20" spans="1:8" x14ac:dyDescent="0.3">
      <c r="A20" s="12"/>
      <c r="B20" s="42" t="s">
        <v>149</v>
      </c>
      <c r="C20" s="42" t="s">
        <v>230</v>
      </c>
      <c r="D20" s="42">
        <v>70000</v>
      </c>
      <c r="E20" s="42">
        <f t="shared" si="2"/>
        <v>7000</v>
      </c>
      <c r="F20" s="42">
        <f t="shared" si="3"/>
        <v>63000</v>
      </c>
      <c r="G20" s="12"/>
      <c r="H20" s="1"/>
    </row>
    <row r="21" spans="1:8" ht="15.6" x14ac:dyDescent="0.3">
      <c r="A21" s="97" t="s">
        <v>109</v>
      </c>
      <c r="B21" s="97"/>
      <c r="C21" s="97"/>
      <c r="D21" s="52">
        <f>SUM(D2:D20)</f>
        <v>219850</v>
      </c>
      <c r="E21" s="52">
        <f>SUM(E2:E20)</f>
        <v>21985</v>
      </c>
      <c r="F21" s="52">
        <f>SUM(F2:F20)</f>
        <v>197865</v>
      </c>
      <c r="G21" s="66"/>
      <c r="H21" s="4"/>
    </row>
    <row r="22" spans="1:8" ht="18" x14ac:dyDescent="0.35">
      <c r="A22" s="67"/>
      <c r="B22" s="67"/>
      <c r="C22" s="67"/>
      <c r="D22" s="67"/>
      <c r="E22" s="67"/>
      <c r="F22" s="67"/>
      <c r="G22" s="67"/>
      <c r="H22" s="67"/>
    </row>
    <row r="23" spans="1:8" ht="27.75" customHeight="1" x14ac:dyDescent="0.3">
      <c r="A23" s="99"/>
      <c r="B23" s="99"/>
      <c r="C23" s="99"/>
      <c r="D23" s="45"/>
      <c r="E23" s="32"/>
      <c r="F23" s="32"/>
      <c r="G23" s="32"/>
      <c r="H23" s="32"/>
    </row>
    <row r="24" spans="1:8" ht="15" customHeight="1" x14ac:dyDescent="0.3">
      <c r="A24" s="99"/>
      <c r="B24" s="99"/>
      <c r="C24" s="99"/>
      <c r="D24" s="45"/>
      <c r="E24" s="32"/>
      <c r="F24" s="32"/>
      <c r="G24" s="32"/>
      <c r="H24" s="32"/>
    </row>
    <row r="25" spans="1:8" ht="15" customHeight="1" x14ac:dyDescent="0.3">
      <c r="A25" s="99"/>
      <c r="B25" s="99"/>
      <c r="C25" s="99"/>
      <c r="D25" s="45"/>
      <c r="E25" s="32"/>
      <c r="F25" s="32" t="s">
        <v>410</v>
      </c>
      <c r="G25" s="32"/>
      <c r="H25" s="32"/>
    </row>
    <row r="26" spans="1:8" ht="15" customHeight="1" x14ac:dyDescent="0.3">
      <c r="A26" s="100"/>
      <c r="B26" s="100"/>
      <c r="C26" s="100"/>
      <c r="D26" s="45"/>
      <c r="E26" s="32"/>
      <c r="F26" s="32"/>
      <c r="G26" s="32"/>
      <c r="H26" s="32"/>
    </row>
    <row r="27" spans="1:8" ht="15" customHeight="1" x14ac:dyDescent="0.3">
      <c r="A27" s="101"/>
      <c r="B27" s="101"/>
      <c r="C27" s="101"/>
      <c r="D27" s="45"/>
      <c r="E27" s="32"/>
      <c r="F27" s="32"/>
      <c r="G27" s="32"/>
      <c r="H27" s="32"/>
    </row>
    <row r="28" spans="1:8" x14ac:dyDescent="0.3">
      <c r="A28" s="98"/>
      <c r="B28" s="98"/>
      <c r="C28" s="98"/>
      <c r="D28" s="46"/>
      <c r="E28" s="32"/>
      <c r="F28" s="32"/>
      <c r="G28" s="32"/>
      <c r="H28" s="32"/>
    </row>
    <row r="29" spans="1:8" x14ac:dyDescent="0.3">
      <c r="A29" s="32"/>
      <c r="B29" s="32"/>
      <c r="C29" s="32"/>
      <c r="D29" s="32"/>
      <c r="E29" s="32"/>
      <c r="F29" s="32"/>
      <c r="G29" s="32"/>
      <c r="H29" s="32"/>
    </row>
  </sheetData>
  <mergeCells count="7">
    <mergeCell ref="A21:C21"/>
    <mergeCell ref="A28:C28"/>
    <mergeCell ref="A23:C23"/>
    <mergeCell ref="A24:C24"/>
    <mergeCell ref="A25:C25"/>
    <mergeCell ref="A26:C26"/>
    <mergeCell ref="A27:C2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VENTES</vt:lpstr>
      <vt:lpstr>COMM SUR VENTES</vt:lpstr>
      <vt:lpstr>CAISSE</vt:lpstr>
      <vt:lpstr>RECAP MONTANTS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ange nannvou</cp:lastModifiedBy>
  <cp:lastPrinted>2026-03-06T12:15:09Z</cp:lastPrinted>
  <dcterms:created xsi:type="dcterms:W3CDTF">2025-06-17T13:48:35Z</dcterms:created>
  <dcterms:modified xsi:type="dcterms:W3CDTF">2026-08-26T13:48:53Z</dcterms:modified>
</cp:coreProperties>
</file>